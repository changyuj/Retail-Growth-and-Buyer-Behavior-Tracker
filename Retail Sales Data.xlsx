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yrchang\Downloads\"/>
    </mc:Choice>
  </mc:AlternateContent>
  <xr:revisionPtr revIDLastSave="0" documentId="13_ncr:1_{70AAAE1B-0818-4365-85BC-91D88156159E}" xr6:coauthVersionLast="47" xr6:coauthVersionMax="47" xr10:uidLastSave="{00000000-0000-0000-0000-000000000000}"/>
  <bookViews>
    <workbookView xWindow="-120" yWindow="-120" windowWidth="29040" windowHeight="15720" activeTab="3" xr2:uid="{8646BD46-A3CB-4D1E-9644-0AD4CE0C7D5B}"/>
  </bookViews>
  <sheets>
    <sheet name="retail_sales_dataset" sheetId="3" r:id="rId1"/>
    <sheet name="Working_Sheet" sheetId="4" r:id="rId2"/>
    <sheet name="Pivot_tables" sheetId="1" r:id="rId3"/>
    <sheet name="Dashboard" sheetId="2" r:id="rId4"/>
  </sheets>
  <definedNames>
    <definedName name="ExternalData_1" localSheetId="0" hidden="1">'retail_sales_dataset'!$A$1:$O$1001</definedName>
    <definedName name="ExternalData_1" localSheetId="1" hidden="1">Working_Sheet!$A$1:$O$1001</definedName>
    <definedName name="Slicer_Age_Bracket">#N/A</definedName>
    <definedName name="Slicer_Date__Quarter">#N/A</definedName>
    <definedName name="Slicer_Gender">#N/A</definedName>
    <definedName name="Slicer_Product_Category">#N/A</definedName>
  </definedNames>
  <calcPr calcId="191029"/>
  <pivotCaches>
    <pivotCache cacheId="613" r:id="rId5"/>
    <pivotCache cacheId="619" r:id="rId6"/>
    <pivotCache cacheId="627" r:id="rId7"/>
    <pivotCache cacheId="631" r:id="rId8"/>
  </pivotCaches>
  <extLst>
    <ext xmlns:x14="http://schemas.microsoft.com/office/spreadsheetml/2009/9/main" uri="{876F7934-8845-4945-9796-88D515C7AA90}">
      <x14:pivotCaches>
        <pivotCache cacheId="326" r:id="rId9"/>
        <pivotCache cacheId="628"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ail_sales_dataset_151520e9-a835-491a-a517-7569ca0d83e2" name="retail_sales_dataset" connection="Query - retail_sales_dataset"/>
          <x15:modelTable id="Calendar" name="Calendar" connection="Connection"/>
        </x15:modelTables>
        <x15:modelRelationships>
          <x15:modelRelationship fromTable="retail_sales_dataset" fromColumn="Date" toTable="Calendar" toColumn="Date"/>
        </x15:modelRelationships>
        <x15:extLst>
          <ext xmlns:x16="http://schemas.microsoft.com/office/spreadsheetml/2014/11/main" uri="{9835A34E-60A6-4A7C-AAB8-D5F71C897F49}">
            <x16:modelTimeGroupings>
              <x16:modelTimeGrouping tableName="Calendar" columnName="Month" columnId="Month">
                <x16:calculatedTimeColumn columnName="Month (Quarter)" columnId="Month (Quarter)" contentType="quarters" isSelected="1"/>
              </x16:modelTimeGrouping>
              <x16:modelTimeGrouping tableName="Calendar" columnName="Year" columnId="Year">
                <x16:calculatedTimeColumn columnName="Year (Year)" columnId="Year (Year)" contentType="years" isSelected="1"/>
                <x16:calculatedTimeColumn columnName="Year (Quarter)" columnId="Year (Quarter)" contentType="quarters" isSelected="1"/>
              </x16:modelTimeGrouping>
              <x16:modelTimeGrouping tableName="retail_sales_dataset"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3" i="1" l="1"/>
  <c r="I3" i="1"/>
  <c r="F3" i="1"/>
  <c r="E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A81B73-7F91-4382-83C9-AFB71B8598A7}" name="Connection" type="104" refreshedVersion="0" background="1">
    <extLst>
      <ext xmlns:x15="http://schemas.microsoft.com/office/spreadsheetml/2010/11/main" uri="{DE250136-89BD-433C-8126-D09CA5730AF9}">
        <x15:connection id="Calendar"/>
      </ext>
    </extLst>
  </connection>
  <connection id="2" xr16:uid="{7E7C202A-DEB6-4BA1-9A5D-CFF1DB1A03EC}" keepAlive="1" name="ModelConnection_ExternalData_1" description="Data Model" type="5" refreshedVersion="8" minRefreshableVersion="5" saveData="1">
    <dbPr connection="Data Model Connection" command="retail_sales_dataset" commandType="3"/>
    <extLst>
      <ext xmlns:x15="http://schemas.microsoft.com/office/spreadsheetml/2010/11/main" uri="{DE250136-89BD-433C-8126-D09CA5730AF9}">
        <x15:connection id="" model="1"/>
      </ext>
    </extLst>
  </connection>
  <connection id="3" xr16:uid="{D6C015BE-4C2F-447F-8BDA-F43B1EDF8CEE}" keepAlive="1" name="ModelConnection_ExternalData_11" description="Data Model" type="5" refreshedVersion="8" minRefreshableVersion="5" saveData="1">
    <dbPr connection="Data Model Connection" command="retail_sales_dataset" commandType="3"/>
    <extLst>
      <ext xmlns:x15="http://schemas.microsoft.com/office/spreadsheetml/2010/11/main" uri="{DE250136-89BD-433C-8126-D09CA5730AF9}">
        <x15:connection id="" model="1"/>
      </ext>
    </extLst>
  </connection>
  <connection id="4" xr16:uid="{684BE78A-4826-4797-A2FE-48E7D712E9A8}" name="Query - retail_sales_dataset" description="Connection to the 'retail_sales_dataset' query in the workbook." type="100" refreshedVersion="8" minRefreshableVersion="5">
    <extLst>
      <ext xmlns:x15="http://schemas.microsoft.com/office/spreadsheetml/2010/11/main" uri="{DE250136-89BD-433C-8126-D09CA5730AF9}">
        <x15:connection id="69927d28-0242-45c2-a166-9efeeec607a8"/>
      </ext>
    </extLst>
  </connection>
  <connection id="5" xr16:uid="{41225266-8F77-4954-9156-56336A480FA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<sst xmlns="http://schemas.openxmlformats.org/spreadsheetml/2006/main" count="16068" uniqueCount="1056">
  <si>
    <t>Row Labels</t>
  </si>
  <si>
    <t>Female</t>
  </si>
  <si>
    <t>Male</t>
  </si>
  <si>
    <t>Grand Total</t>
  </si>
  <si>
    <t>Transaction ID</t>
  </si>
  <si>
    <t>Date</t>
  </si>
  <si>
    <t>Customer ID</t>
  </si>
  <si>
    <t>Gender</t>
  </si>
  <si>
    <t>Age</t>
  </si>
  <si>
    <t>Product Category</t>
  </si>
  <si>
    <t>Quantity</t>
  </si>
  <si>
    <t>Price per Unit</t>
  </si>
  <si>
    <t>Total Amount</t>
  </si>
  <si>
    <t>Total Sales</t>
  </si>
  <si>
    <t>Total Units Sold</t>
  </si>
  <si>
    <t>Transaction Count</t>
  </si>
  <si>
    <t>Average Order Value (AOV)</t>
  </si>
  <si>
    <t>Age Bracket</t>
  </si>
  <si>
    <t>CUST007</t>
  </si>
  <si>
    <t>Clothing</t>
  </si>
  <si>
    <t>Middle Age</t>
  </si>
  <si>
    <t>CUST017</t>
  </si>
  <si>
    <t>Adolescent</t>
  </si>
  <si>
    <t>CUST019</t>
  </si>
  <si>
    <t>Old</t>
  </si>
  <si>
    <t>CUST041</t>
  </si>
  <si>
    <t>CUST044</t>
  </si>
  <si>
    <t>CUST064</t>
  </si>
  <si>
    <t>CUST103</t>
  </si>
  <si>
    <t>CUST127</t>
  </si>
  <si>
    <t>CUST135</t>
  </si>
  <si>
    <t>CUST145</t>
  </si>
  <si>
    <t>CUST149</t>
  </si>
  <si>
    <t>CUST156</t>
  </si>
  <si>
    <t>CUST170</t>
  </si>
  <si>
    <t>CUST185</t>
  </si>
  <si>
    <t>CUST188</t>
  </si>
  <si>
    <t>CUST205</t>
  </si>
  <si>
    <t>CUST206</t>
  </si>
  <si>
    <t>CUST223</t>
  </si>
  <si>
    <t>CUST236</t>
  </si>
  <si>
    <t>CUST242</t>
  </si>
  <si>
    <t>CUST261</t>
  </si>
  <si>
    <t>CUST277</t>
  </si>
  <si>
    <t>CUST278</t>
  </si>
  <si>
    <t>CUST287</t>
  </si>
  <si>
    <t>CUST316</t>
  </si>
  <si>
    <t>CUST318</t>
  </si>
  <si>
    <t>CUST326</t>
  </si>
  <si>
    <t>CUST360</t>
  </si>
  <si>
    <t>CUST362</t>
  </si>
  <si>
    <t>CUST379</t>
  </si>
  <si>
    <t>CUST381</t>
  </si>
  <si>
    <t>CUST389</t>
  </si>
  <si>
    <t>CUST423</t>
  </si>
  <si>
    <t>CUST439</t>
  </si>
  <si>
    <t>CUST442</t>
  </si>
  <si>
    <t>CUST475</t>
  </si>
  <si>
    <t>CUST498</t>
  </si>
  <si>
    <t>CUST517</t>
  </si>
  <si>
    <t>CUST527</t>
  </si>
  <si>
    <t>CUST545</t>
  </si>
  <si>
    <t>CUST558</t>
  </si>
  <si>
    <t>CUST585</t>
  </si>
  <si>
    <t>CUST607</t>
  </si>
  <si>
    <t>CUST615</t>
  </si>
  <si>
    <t>CUST642</t>
  </si>
  <si>
    <t>CUST653</t>
  </si>
  <si>
    <t>CUST654</t>
  </si>
  <si>
    <t>CUST657</t>
  </si>
  <si>
    <t>CUST658</t>
  </si>
  <si>
    <t>CUST661</t>
  </si>
  <si>
    <t>CUST688</t>
  </si>
  <si>
    <t>CUST730</t>
  </si>
  <si>
    <t>CUST736</t>
  </si>
  <si>
    <t>CUST750</t>
  </si>
  <si>
    <t>CUST751</t>
  </si>
  <si>
    <t>CUST755</t>
  </si>
  <si>
    <t>CUST758</t>
  </si>
  <si>
    <t>CUST763</t>
  </si>
  <si>
    <t>CUST764</t>
  </si>
  <si>
    <t>CUST774</t>
  </si>
  <si>
    <t>CUST786</t>
  </si>
  <si>
    <t>CUST790</t>
  </si>
  <si>
    <t>CUST797</t>
  </si>
  <si>
    <t>CUST803</t>
  </si>
  <si>
    <t>CUST815</t>
  </si>
  <si>
    <t>CUST840</t>
  </si>
  <si>
    <t>CUST848</t>
  </si>
  <si>
    <t>CUST849</t>
  </si>
  <si>
    <t>CUST877</t>
  </si>
  <si>
    <t>CUST887</t>
  </si>
  <si>
    <t>CUST941</t>
  </si>
  <si>
    <t>CUST944</t>
  </si>
  <si>
    <t>CUST952</t>
  </si>
  <si>
    <t>CUST955</t>
  </si>
  <si>
    <t>CUST988</t>
  </si>
  <si>
    <t>CUST010</t>
  </si>
  <si>
    <t>CUST011</t>
  </si>
  <si>
    <t>CUST022</t>
  </si>
  <si>
    <t>CUST034</t>
  </si>
  <si>
    <t>CUST059</t>
  </si>
  <si>
    <t>CUST077</t>
  </si>
  <si>
    <t>CUST085</t>
  </si>
  <si>
    <t>CUST106</t>
  </si>
  <si>
    <t>CUST119</t>
  </si>
  <si>
    <t>CUST125</t>
  </si>
  <si>
    <t>CUST138</t>
  </si>
  <si>
    <t>CUST143</t>
  </si>
  <si>
    <t>CUST146</t>
  </si>
  <si>
    <t>CUST151</t>
  </si>
  <si>
    <t>CUST159</t>
  </si>
  <si>
    <t>CUST160</t>
  </si>
  <si>
    <t>CUST163</t>
  </si>
  <si>
    <t>CUST167</t>
  </si>
  <si>
    <t>CUST186</t>
  </si>
  <si>
    <t>CUST187</t>
  </si>
  <si>
    <t>CUST194</t>
  </si>
  <si>
    <t>CUST197</t>
  </si>
  <si>
    <t>CUST224</t>
  </si>
  <si>
    <t>CUST226</t>
  </si>
  <si>
    <t>CUST231</t>
  </si>
  <si>
    <t>CUST249</t>
  </si>
  <si>
    <t>CUST258</t>
  </si>
  <si>
    <t>CUST259</t>
  </si>
  <si>
    <t>CUST284</t>
  </si>
  <si>
    <t>CUST341</t>
  </si>
  <si>
    <t>CUST359</t>
  </si>
  <si>
    <t>CUST366</t>
  </si>
  <si>
    <t>CUST375</t>
  </si>
  <si>
    <t>CUST377</t>
  </si>
  <si>
    <t>CUST400</t>
  </si>
  <si>
    <t>CUST410</t>
  </si>
  <si>
    <t>CUST471</t>
  </si>
  <si>
    <t>CUST490</t>
  </si>
  <si>
    <t>CUST526</t>
  </si>
  <si>
    <t>CUST529</t>
  </si>
  <si>
    <t>CUST538</t>
  </si>
  <si>
    <t>CUST575</t>
  </si>
  <si>
    <t>CUST609</t>
  </si>
  <si>
    <t>CUST616</t>
  </si>
  <si>
    <t>CUST623</t>
  </si>
  <si>
    <t>CUST627</t>
  </si>
  <si>
    <t>CUST630</t>
  </si>
  <si>
    <t>CUST651</t>
  </si>
  <si>
    <t>CUST665</t>
  </si>
  <si>
    <t>CUST692</t>
  </si>
  <si>
    <t>CUST696</t>
  </si>
  <si>
    <t>CUST724</t>
  </si>
  <si>
    <t>CUST737</t>
  </si>
  <si>
    <t>CUST738</t>
  </si>
  <si>
    <t>CUST748</t>
  </si>
  <si>
    <t>CUST752</t>
  </si>
  <si>
    <t>CUST765</t>
  </si>
  <si>
    <t>CUST770</t>
  </si>
  <si>
    <t>CUST798</t>
  </si>
  <si>
    <t>CUST801</t>
  </si>
  <si>
    <t>CUST830</t>
  </si>
  <si>
    <t>CUST835</t>
  </si>
  <si>
    <t>CUST836</t>
  </si>
  <si>
    <t>CUST844</t>
  </si>
  <si>
    <t>CUST854</t>
  </si>
  <si>
    <t>CUST860</t>
  </si>
  <si>
    <t>CUST906</t>
  </si>
  <si>
    <t>CUST930</t>
  </si>
  <si>
    <t>CUST938</t>
  </si>
  <si>
    <t>CUST965</t>
  </si>
  <si>
    <t>CUST973</t>
  </si>
  <si>
    <t>CUST975</t>
  </si>
  <si>
    <t>CUST978</t>
  </si>
  <si>
    <t>CUST991</t>
  </si>
  <si>
    <t>CUST996</t>
  </si>
  <si>
    <t>CUST020</t>
  </si>
  <si>
    <t>CUST024</t>
  </si>
  <si>
    <t>CUST042</t>
  </si>
  <si>
    <t>CUST043</t>
  </si>
  <si>
    <t>CUST056</t>
  </si>
  <si>
    <t>CUST058</t>
  </si>
  <si>
    <t>CUST070</t>
  </si>
  <si>
    <t>CUST096</t>
  </si>
  <si>
    <t>CUST101</t>
  </si>
  <si>
    <t>CUST107</t>
  </si>
  <si>
    <t>CUST110</t>
  </si>
  <si>
    <t>CUST165</t>
  </si>
  <si>
    <t>CUST168</t>
  </si>
  <si>
    <t>CUST171</t>
  </si>
  <si>
    <t>CUST180</t>
  </si>
  <si>
    <t>CUST196</t>
  </si>
  <si>
    <t>CUST202</t>
  </si>
  <si>
    <t>CUST248</t>
  </si>
  <si>
    <t>CUST264</t>
  </si>
  <si>
    <t>CUST265</t>
  </si>
  <si>
    <t>CUST291</t>
  </si>
  <si>
    <t>CUST296</t>
  </si>
  <si>
    <t>CUST340</t>
  </si>
  <si>
    <t>CUST365</t>
  </si>
  <si>
    <t>CUST368</t>
  </si>
  <si>
    <t>CUST392</t>
  </si>
  <si>
    <t>CUST398</t>
  </si>
  <si>
    <t>CUST401</t>
  </si>
  <si>
    <t>CUST402</t>
  </si>
  <si>
    <t>CUST403</t>
  </si>
  <si>
    <t>CUST405</t>
  </si>
  <si>
    <t>CUST440</t>
  </si>
  <si>
    <t>CUST443</t>
  </si>
  <si>
    <t>CUST459</t>
  </si>
  <si>
    <t>CUST482</t>
  </si>
  <si>
    <t>CUST484</t>
  </si>
  <si>
    <t>CUST496</t>
  </si>
  <si>
    <t>CUST515</t>
  </si>
  <si>
    <t>CUST550</t>
  </si>
  <si>
    <t>CUST553</t>
  </si>
  <si>
    <t>CUST559</t>
  </si>
  <si>
    <t>CUST567</t>
  </si>
  <si>
    <t>CUST582</t>
  </si>
  <si>
    <t>CUST590</t>
  </si>
  <si>
    <t>CUST625</t>
  </si>
  <si>
    <t>CUST637</t>
  </si>
  <si>
    <t>CUST649</t>
  </si>
  <si>
    <t>CUST663</t>
  </si>
  <si>
    <t>CUST674</t>
  </si>
  <si>
    <t>CUST680</t>
  </si>
  <si>
    <t>CUST690</t>
  </si>
  <si>
    <t>CUST702</t>
  </si>
  <si>
    <t>CUST716</t>
  </si>
  <si>
    <t>CUST726</t>
  </si>
  <si>
    <t>CUST729</t>
  </si>
  <si>
    <t>CUST741</t>
  </si>
  <si>
    <t>CUST782</t>
  </si>
  <si>
    <t>CUST783</t>
  </si>
  <si>
    <t>CUST800</t>
  </si>
  <si>
    <t>CUST826</t>
  </si>
  <si>
    <t>CUST842</t>
  </si>
  <si>
    <t>CUST852</t>
  </si>
  <si>
    <t>CUST865</t>
  </si>
  <si>
    <t>CUST899</t>
  </si>
  <si>
    <t>CUST928</t>
  </si>
  <si>
    <t>CUST943</t>
  </si>
  <si>
    <t>CUST950</t>
  </si>
  <si>
    <t>CUST964</t>
  </si>
  <si>
    <t>CUST968</t>
  </si>
  <si>
    <t>CUST969</t>
  </si>
  <si>
    <t>CUST983</t>
  </si>
  <si>
    <t>CUST987</t>
  </si>
  <si>
    <t>CUST014</t>
  </si>
  <si>
    <t>CUST023</t>
  </si>
  <si>
    <t>CUST039</t>
  </si>
  <si>
    <t>CUST080</t>
  </si>
  <si>
    <t>CUST095</t>
  </si>
  <si>
    <t>CUST116</t>
  </si>
  <si>
    <t>CUST126</t>
  </si>
  <si>
    <t>CUST148</t>
  </si>
  <si>
    <t>CUST162</t>
  </si>
  <si>
    <t>CUST178</t>
  </si>
  <si>
    <t>CUST195</t>
  </si>
  <si>
    <t>CUST222</t>
  </si>
  <si>
    <t>CUST245</t>
  </si>
  <si>
    <t>CUST255</t>
  </si>
  <si>
    <t>CUST288</t>
  </si>
  <si>
    <t>CUST294</t>
  </si>
  <si>
    <t>CUST301</t>
  </si>
  <si>
    <t>CUST312</t>
  </si>
  <si>
    <t>CUST314</t>
  </si>
  <si>
    <t>CUST315</t>
  </si>
  <si>
    <t>CUST351</t>
  </si>
  <si>
    <t>CUST415</t>
  </si>
  <si>
    <t>CUST419</t>
  </si>
  <si>
    <t>CUST422</t>
  </si>
  <si>
    <t>CUST436</t>
  </si>
  <si>
    <t>CUST438</t>
  </si>
  <si>
    <t>CUST444</t>
  </si>
  <si>
    <t>CUST477</t>
  </si>
  <si>
    <t>CUST478</t>
  </si>
  <si>
    <t>CUST483</t>
  </si>
  <si>
    <t>CUST497</t>
  </si>
  <si>
    <t>CUST518</t>
  </si>
  <si>
    <t>CUST521</t>
  </si>
  <si>
    <t>CUST528</t>
  </si>
  <si>
    <t>CUST532</t>
  </si>
  <si>
    <t>CUST548</t>
  </si>
  <si>
    <t>CUST563</t>
  </si>
  <si>
    <t>CUST566</t>
  </si>
  <si>
    <t>CUST578</t>
  </si>
  <si>
    <t>CUST601</t>
  </si>
  <si>
    <t>CUST603</t>
  </si>
  <si>
    <t>CUST613</t>
  </si>
  <si>
    <t>CUST646</t>
  </si>
  <si>
    <t>CUST675</t>
  </si>
  <si>
    <t>CUST691</t>
  </si>
  <si>
    <t>CUST699</t>
  </si>
  <si>
    <t>CUST704</t>
  </si>
  <si>
    <t>CUST719</t>
  </si>
  <si>
    <t>CUST734</t>
  </si>
  <si>
    <t>CUST746</t>
  </si>
  <si>
    <t>CUST753</t>
  </si>
  <si>
    <t>CUST776</t>
  </si>
  <si>
    <t>CUST824</t>
  </si>
  <si>
    <t>CUST861</t>
  </si>
  <si>
    <t>CUST876</t>
  </si>
  <si>
    <t>CUST878</t>
  </si>
  <si>
    <t>CUST879</t>
  </si>
  <si>
    <t>CUST884</t>
  </si>
  <si>
    <t>CUST885</t>
  </si>
  <si>
    <t>CUST895</t>
  </si>
  <si>
    <t>CUST898</t>
  </si>
  <si>
    <t>CUST900</t>
  </si>
  <si>
    <t>CUST960</t>
  </si>
  <si>
    <t>CUST962</t>
  </si>
  <si>
    <t>CUST995</t>
  </si>
  <si>
    <t>CUST002</t>
  </si>
  <si>
    <t>CUST004</t>
  </si>
  <si>
    <t>CUST016</t>
  </si>
  <si>
    <t>CUST078</t>
  </si>
  <si>
    <t>CUST088</t>
  </si>
  <si>
    <t>CUST112</t>
  </si>
  <si>
    <t>CUST115</t>
  </si>
  <si>
    <t>CUST124</t>
  </si>
  <si>
    <t>CUST130</t>
  </si>
  <si>
    <t>CUST166</t>
  </si>
  <si>
    <t>CUST203</t>
  </si>
  <si>
    <t>CUST212</t>
  </si>
  <si>
    <t>CUST215</t>
  </si>
  <si>
    <t>CUST253</t>
  </si>
  <si>
    <t>CUST256</t>
  </si>
  <si>
    <t>CUST269</t>
  </si>
  <si>
    <t>CUST274</t>
  </si>
  <si>
    <t>CUST275</t>
  </si>
  <si>
    <t>CUST279</t>
  </si>
  <si>
    <t>CUST280</t>
  </si>
  <si>
    <t>CUST319</t>
  </si>
  <si>
    <t>CUST337</t>
  </si>
  <si>
    <t>CUST342</t>
  </si>
  <si>
    <t>CUST346</t>
  </si>
  <si>
    <t>CUST382</t>
  </si>
  <si>
    <t>CUST384</t>
  </si>
  <si>
    <t>CUST394</t>
  </si>
  <si>
    <t>CUST420</t>
  </si>
  <si>
    <t>CUST421</t>
  </si>
  <si>
    <t>CUST452</t>
  </si>
  <si>
    <t>CUST453</t>
  </si>
  <si>
    <t>CUST470</t>
  </si>
  <si>
    <t>CUST474</t>
  </si>
  <si>
    <t>CUST476</t>
  </si>
  <si>
    <t>CUST487</t>
  </si>
  <si>
    <t>CUST534</t>
  </si>
  <si>
    <t>CUST547</t>
  </si>
  <si>
    <t>CUST561</t>
  </si>
  <si>
    <t>CUST570</t>
  </si>
  <si>
    <t>CUST572</t>
  </si>
  <si>
    <t>CUST580</t>
  </si>
  <si>
    <t>CUST595</t>
  </si>
  <si>
    <t>CUST626</t>
  </si>
  <si>
    <t>CUST647</t>
  </si>
  <si>
    <t>CUST655</t>
  </si>
  <si>
    <t>CUST664</t>
  </si>
  <si>
    <t>CUST673</t>
  </si>
  <si>
    <t>CUST684</t>
  </si>
  <si>
    <t>CUST697</t>
  </si>
  <si>
    <t>CUST707</t>
  </si>
  <si>
    <t>CUST714</t>
  </si>
  <si>
    <t>CUST717</t>
  </si>
  <si>
    <t>CUST721</t>
  </si>
  <si>
    <t>CUST731</t>
  </si>
  <si>
    <t>CUST735</t>
  </si>
  <si>
    <t>CUST761</t>
  </si>
  <si>
    <t>CUST789</t>
  </si>
  <si>
    <t>CUST814</t>
  </si>
  <si>
    <t>CUST845</t>
  </si>
  <si>
    <t>CUST904</t>
  </si>
  <si>
    <t>CUST942</t>
  </si>
  <si>
    <t>CUST956</t>
  </si>
  <si>
    <t>CUST984</t>
  </si>
  <si>
    <t>CUST986</t>
  </si>
  <si>
    <t>CUST003</t>
  </si>
  <si>
    <t>Electronics</t>
  </si>
  <si>
    <t>CUST008</t>
  </si>
  <si>
    <t>CUST009</t>
  </si>
  <si>
    <t>CUST013</t>
  </si>
  <si>
    <t>CUST015</t>
  </si>
  <si>
    <t>CUST018</t>
  </si>
  <si>
    <t>CUST026</t>
  </si>
  <si>
    <t>CUST029</t>
  </si>
  <si>
    <t>CUST031</t>
  </si>
  <si>
    <t>CUST033</t>
  </si>
  <si>
    <t>CUST045</t>
  </si>
  <si>
    <t>CUST046</t>
  </si>
  <si>
    <t>CUST048</t>
  </si>
  <si>
    <t>CUST049</t>
  </si>
  <si>
    <t>CUST053</t>
  </si>
  <si>
    <t>CUST054</t>
  </si>
  <si>
    <t>CUST063</t>
  </si>
  <si>
    <t>CUST065</t>
  </si>
  <si>
    <t>CUST066</t>
  </si>
  <si>
    <t>CUST068</t>
  </si>
  <si>
    <t>CUST072</t>
  </si>
  <si>
    <t>CUST073</t>
  </si>
  <si>
    <t>CUST076</t>
  </si>
  <si>
    <t>CUST081</t>
  </si>
  <si>
    <t>CUST083</t>
  </si>
  <si>
    <t>CUST084</t>
  </si>
  <si>
    <t>CUST089</t>
  </si>
  <si>
    <t>CUST090</t>
  </si>
  <si>
    <t>CUST091</t>
  </si>
  <si>
    <t>CUST092</t>
  </si>
  <si>
    <t>CUST099</t>
  </si>
  <si>
    <t>CUST100</t>
  </si>
  <si>
    <t>CUST105</t>
  </si>
  <si>
    <t>CUST109</t>
  </si>
  <si>
    <t>CUST111</t>
  </si>
  <si>
    <t>CUST113</t>
  </si>
  <si>
    <t>CUST117</t>
  </si>
  <si>
    <t>CUST118</t>
  </si>
  <si>
    <t>CUST121</t>
  </si>
  <si>
    <t>CUST122</t>
  </si>
  <si>
    <t>CUST123</t>
  </si>
  <si>
    <t>CUST132</t>
  </si>
  <si>
    <t>CUST133</t>
  </si>
  <si>
    <t>CUST134</t>
  </si>
  <si>
    <t>CUST136</t>
  </si>
  <si>
    <t>CUST140</t>
  </si>
  <si>
    <t>CUST141</t>
  </si>
  <si>
    <t>CUST142</t>
  </si>
  <si>
    <t>CUST147</t>
  </si>
  <si>
    <t>CUST150</t>
  </si>
  <si>
    <t>CUST152</t>
  </si>
  <si>
    <t>CUST153</t>
  </si>
  <si>
    <t>CUST154</t>
  </si>
  <si>
    <t>CUST155</t>
  </si>
  <si>
    <t>CUST157</t>
  </si>
  <si>
    <t>CUST158</t>
  </si>
  <si>
    <t>CUST173</t>
  </si>
  <si>
    <t>CUST175</t>
  </si>
  <si>
    <t>CUST179</t>
  </si>
  <si>
    <t>CUST181</t>
  </si>
  <si>
    <t>CUST184</t>
  </si>
  <si>
    <t>CUST201</t>
  </si>
  <si>
    <t>CUST208</t>
  </si>
  <si>
    <t>CUST209</t>
  </si>
  <si>
    <t>CUST210</t>
  </si>
  <si>
    <t>CUST216</t>
  </si>
  <si>
    <t>CUST217</t>
  </si>
  <si>
    <t>CUST219</t>
  </si>
  <si>
    <t>CUST227</t>
  </si>
  <si>
    <t>CUST228</t>
  </si>
  <si>
    <t>CUST234</t>
  </si>
  <si>
    <t>CUST235</t>
  </si>
  <si>
    <t>CUST239</t>
  </si>
  <si>
    <t>CUST241</t>
  </si>
  <si>
    <t>CUST243</t>
  </si>
  <si>
    <t>CUST246</t>
  </si>
  <si>
    <t>CUST247</t>
  </si>
  <si>
    <t>CUST250</t>
  </si>
  <si>
    <t>CUST252</t>
  </si>
  <si>
    <t>CUST254</t>
  </si>
  <si>
    <t>CUST266</t>
  </si>
  <si>
    <t>CUST268</t>
  </si>
  <si>
    <t>CUST270</t>
  </si>
  <si>
    <t>CUST272</t>
  </si>
  <si>
    <t>CUST282</t>
  </si>
  <si>
    <t>CUST283</t>
  </si>
  <si>
    <t>CUST285</t>
  </si>
  <si>
    <t>CUST286</t>
  </si>
  <si>
    <t>CUST289</t>
  </si>
  <si>
    <t>CUST293</t>
  </si>
  <si>
    <t>CUST297</t>
  </si>
  <si>
    <t>CUST299</t>
  </si>
  <si>
    <t>CUST300</t>
  </si>
  <si>
    <t>CUST303</t>
  </si>
  <si>
    <t>CUST304</t>
  </si>
  <si>
    <t>CUST306</t>
  </si>
  <si>
    <t>CUST307</t>
  </si>
  <si>
    <t>CUST317</t>
  </si>
  <si>
    <t>CUST320</t>
  </si>
  <si>
    <t>CUST321</t>
  </si>
  <si>
    <t>CUST322</t>
  </si>
  <si>
    <t>CUST324</t>
  </si>
  <si>
    <t>CUST325</t>
  </si>
  <si>
    <t>CUST327</t>
  </si>
  <si>
    <t>CUST329</t>
  </si>
  <si>
    <t>CUST331</t>
  </si>
  <si>
    <t>CUST332</t>
  </si>
  <si>
    <t>CUST333</t>
  </si>
  <si>
    <t>CUST334</t>
  </si>
  <si>
    <t>CUST339</t>
  </si>
  <si>
    <t>CUST343</t>
  </si>
  <si>
    <t>CUST345</t>
  </si>
  <si>
    <t>CUST347</t>
  </si>
  <si>
    <t>CUST348</t>
  </si>
  <si>
    <t>CUST352</t>
  </si>
  <si>
    <t>CUST353</t>
  </si>
  <si>
    <t>CUST355</t>
  </si>
  <si>
    <t>CUST356</t>
  </si>
  <si>
    <t>CUST357</t>
  </si>
  <si>
    <t>CUST361</t>
  </si>
  <si>
    <t>CUST367</t>
  </si>
  <si>
    <t>CUST369</t>
  </si>
  <si>
    <t>CUST370</t>
  </si>
  <si>
    <t>CUST380</t>
  </si>
  <si>
    <t>CUST385</t>
  </si>
  <si>
    <t>CUST386</t>
  </si>
  <si>
    <t>CUST388</t>
  </si>
  <si>
    <t>CUST390</t>
  </si>
  <si>
    <t>CUST395</t>
  </si>
  <si>
    <t>CUST404</t>
  </si>
  <si>
    <t>CUST407</t>
  </si>
  <si>
    <t>CUST409</t>
  </si>
  <si>
    <t>CUST411</t>
  </si>
  <si>
    <t>CUST412</t>
  </si>
  <si>
    <t>CUST416</t>
  </si>
  <si>
    <t>CUST417</t>
  </si>
  <si>
    <t>CUST418</t>
  </si>
  <si>
    <t>CUST425</t>
  </si>
  <si>
    <t>CUST426</t>
  </si>
  <si>
    <t>CUST427</t>
  </si>
  <si>
    <t>CUST428</t>
  </si>
  <si>
    <t>CUST429</t>
  </si>
  <si>
    <t>CUST430</t>
  </si>
  <si>
    <t>CUST431</t>
  </si>
  <si>
    <t>CUST432</t>
  </si>
  <si>
    <t>CUST434</t>
  </si>
  <si>
    <t>CUST437</t>
  </si>
  <si>
    <t>CUST445</t>
  </si>
  <si>
    <t>CUST446</t>
  </si>
  <si>
    <t>CUST449</t>
  </si>
  <si>
    <t>CUST451</t>
  </si>
  <si>
    <t>CUST455</t>
  </si>
  <si>
    <t>CUST456</t>
  </si>
  <si>
    <t>CUST458</t>
  </si>
  <si>
    <t>CUST462</t>
  </si>
  <si>
    <t>CUST464</t>
  </si>
  <si>
    <t>CUST465</t>
  </si>
  <si>
    <t>CUST466</t>
  </si>
  <si>
    <t>CUST467</t>
  </si>
  <si>
    <t>CUST468</t>
  </si>
  <si>
    <t>CUST479</t>
  </si>
  <si>
    <t>CUST481</t>
  </si>
  <si>
    <t>CUST485</t>
  </si>
  <si>
    <t>CUST486</t>
  </si>
  <si>
    <t>CUST488</t>
  </si>
  <si>
    <t>CUST489</t>
  </si>
  <si>
    <t>CUST491</t>
  </si>
  <si>
    <t>CUST501</t>
  </si>
  <si>
    <t>CUST502</t>
  </si>
  <si>
    <t>CUST507</t>
  </si>
  <si>
    <t>CUST509</t>
  </si>
  <si>
    <t>CUST513</t>
  </si>
  <si>
    <t>CUST514</t>
  </si>
  <si>
    <t>CUST519</t>
  </si>
  <si>
    <t>CUST520</t>
  </si>
  <si>
    <t>CUST523</t>
  </si>
  <si>
    <t>CUST530</t>
  </si>
  <si>
    <t>CUST531</t>
  </si>
  <si>
    <t>CUST533</t>
  </si>
  <si>
    <t>CUST540</t>
  </si>
  <si>
    <t>CUST544</t>
  </si>
  <si>
    <t>CUST546</t>
  </si>
  <si>
    <t>CUST551</t>
  </si>
  <si>
    <t>CUST552</t>
  </si>
  <si>
    <t>CUST556</t>
  </si>
  <si>
    <t>CUST560</t>
  </si>
  <si>
    <t>CUST562</t>
  </si>
  <si>
    <t>CUST564</t>
  </si>
  <si>
    <t>CUST568</t>
  </si>
  <si>
    <t>CUST569</t>
  </si>
  <si>
    <t>CUST571</t>
  </si>
  <si>
    <t>CUST574</t>
  </si>
  <si>
    <t>CUST579</t>
  </si>
  <si>
    <t>CUST583</t>
  </si>
  <si>
    <t>CUST586</t>
  </si>
  <si>
    <t>CUST588</t>
  </si>
  <si>
    <t>CUST591</t>
  </si>
  <si>
    <t>CUST593</t>
  </si>
  <si>
    <t>CUST594</t>
  </si>
  <si>
    <t>CUST596</t>
  </si>
  <si>
    <t>CUST602</t>
  </si>
  <si>
    <t>CUST604</t>
  </si>
  <si>
    <t>CUST605</t>
  </si>
  <si>
    <t>CUST606</t>
  </si>
  <si>
    <t>CUST608</t>
  </si>
  <si>
    <t>CUST612</t>
  </si>
  <si>
    <t>CUST617</t>
  </si>
  <si>
    <t>CUST619</t>
  </si>
  <si>
    <t>CUST620</t>
  </si>
  <si>
    <t>CUST629</t>
  </si>
  <si>
    <t>CUST631</t>
  </si>
  <si>
    <t>CUST632</t>
  </si>
  <si>
    <t>CUST634</t>
  </si>
  <si>
    <t>CUST635</t>
  </si>
  <si>
    <t>CUST638</t>
  </si>
  <si>
    <t>CUST640</t>
  </si>
  <si>
    <t>CUST641</t>
  </si>
  <si>
    <t>CUST643</t>
  </si>
  <si>
    <t>CUST645</t>
  </si>
  <si>
    <t>CUST650</t>
  </si>
  <si>
    <t>CUST659</t>
  </si>
  <si>
    <t>CUST666</t>
  </si>
  <si>
    <t>CUST667</t>
  </si>
  <si>
    <t>CUST668</t>
  </si>
  <si>
    <t>CUST671</t>
  </si>
  <si>
    <t>CUST676</t>
  </si>
  <si>
    <t>CUST678</t>
  </si>
  <si>
    <t>CUST681</t>
  </si>
  <si>
    <t>CUST685</t>
  </si>
  <si>
    <t>CUST686</t>
  </si>
  <si>
    <t>CUST687</t>
  </si>
  <si>
    <t>CUST689</t>
  </si>
  <si>
    <t>CUST694</t>
  </si>
  <si>
    <t>CUST695</t>
  </si>
  <si>
    <t>CUST698</t>
  </si>
  <si>
    <t>CUST700</t>
  </si>
  <si>
    <t>CUST703</t>
  </si>
  <si>
    <t>CUST705</t>
  </si>
  <si>
    <t>CUST706</t>
  </si>
  <si>
    <t>CUST709</t>
  </si>
  <si>
    <t>CUST710</t>
  </si>
  <si>
    <t>CUST711</t>
  </si>
  <si>
    <t>CUST725</t>
  </si>
  <si>
    <t>CUST728</t>
  </si>
  <si>
    <t>CUST732</t>
  </si>
  <si>
    <t>CUST742</t>
  </si>
  <si>
    <t>CUST744</t>
  </si>
  <si>
    <t>CUST754</t>
  </si>
  <si>
    <t>CUST756</t>
  </si>
  <si>
    <t>CUST757</t>
  </si>
  <si>
    <t>CUST759</t>
  </si>
  <si>
    <t>CUST762</t>
  </si>
  <si>
    <t>CUST766</t>
  </si>
  <si>
    <t>CUST769</t>
  </si>
  <si>
    <t>CUST771</t>
  </si>
  <si>
    <t>CUST772</t>
  </si>
  <si>
    <t>CUST773</t>
  </si>
  <si>
    <t>CUST775</t>
  </si>
  <si>
    <t>CUST777</t>
  </si>
  <si>
    <t>CUST779</t>
  </si>
  <si>
    <t>CUST780</t>
  </si>
  <si>
    <t>CUST784</t>
  </si>
  <si>
    <t>CUST787</t>
  </si>
  <si>
    <t>CUST795</t>
  </si>
  <si>
    <t>CUST799</t>
  </si>
  <si>
    <t>CUST804</t>
  </si>
  <si>
    <t>CUST807</t>
  </si>
  <si>
    <t>CUST810</t>
  </si>
  <si>
    <t>CUST812</t>
  </si>
  <si>
    <t>CUST813</t>
  </si>
  <si>
    <t>CUST818</t>
  </si>
  <si>
    <t>CUST820</t>
  </si>
  <si>
    <t>CUST821</t>
  </si>
  <si>
    <t>CUST823</t>
  </si>
  <si>
    <t>CUST828</t>
  </si>
  <si>
    <t>CUST831</t>
  </si>
  <si>
    <t>CUST838</t>
  </si>
  <si>
    <t>CUST839</t>
  </si>
  <si>
    <t>CUST841</t>
  </si>
  <si>
    <t>CUST847</t>
  </si>
  <si>
    <t>CUST851</t>
  </si>
  <si>
    <t>CUST856</t>
  </si>
  <si>
    <t>CUST857</t>
  </si>
  <si>
    <t>CUST858</t>
  </si>
  <si>
    <t>CUST859</t>
  </si>
  <si>
    <t>CUST862</t>
  </si>
  <si>
    <t>CUST863</t>
  </si>
  <si>
    <t>CUST864</t>
  </si>
  <si>
    <t>CUST866</t>
  </si>
  <si>
    <t>CUST867</t>
  </si>
  <si>
    <t>CUST868</t>
  </si>
  <si>
    <t>CUST870</t>
  </si>
  <si>
    <t>CUST873</t>
  </si>
  <si>
    <t>CUST875</t>
  </si>
  <si>
    <t>CUST881</t>
  </si>
  <si>
    <t>CUST882</t>
  </si>
  <si>
    <t>CUST883</t>
  </si>
  <si>
    <t>CUST886</t>
  </si>
  <si>
    <t>CUST888</t>
  </si>
  <si>
    <t>CUST889</t>
  </si>
  <si>
    <t>CUST890</t>
  </si>
  <si>
    <t>CUST891</t>
  </si>
  <si>
    <t>CUST892</t>
  </si>
  <si>
    <t>CUST893</t>
  </si>
  <si>
    <t>CUST894</t>
  </si>
  <si>
    <t>CUST896</t>
  </si>
  <si>
    <t>CUST897</t>
  </si>
  <si>
    <t>CUST901</t>
  </si>
  <si>
    <t>CUST907</t>
  </si>
  <si>
    <t>CUST909</t>
  </si>
  <si>
    <t>CUST911</t>
  </si>
  <si>
    <t>CUST913</t>
  </si>
  <si>
    <t>CUST914</t>
  </si>
  <si>
    <t>CUST916</t>
  </si>
  <si>
    <t>CUST917</t>
  </si>
  <si>
    <t>CUST918</t>
  </si>
  <si>
    <t>CUST921</t>
  </si>
  <si>
    <t>CUST922</t>
  </si>
  <si>
    <t>CUST925</t>
  </si>
  <si>
    <t>CUST926</t>
  </si>
  <si>
    <t>CUST927</t>
  </si>
  <si>
    <t>CUST939</t>
  </si>
  <si>
    <t>CUST940</t>
  </si>
  <si>
    <t>CUST946</t>
  </si>
  <si>
    <t>CUST948</t>
  </si>
  <si>
    <t>CUST949</t>
  </si>
  <si>
    <t>CUST954</t>
  </si>
  <si>
    <t>CUST957</t>
  </si>
  <si>
    <t>CUST958</t>
  </si>
  <si>
    <t>CUST959</t>
  </si>
  <si>
    <t>CUST966</t>
  </si>
  <si>
    <t>CUST970</t>
  </si>
  <si>
    <t>CUST971</t>
  </si>
  <si>
    <t>CUST977</t>
  </si>
  <si>
    <t>CUST980</t>
  </si>
  <si>
    <t>CUST981</t>
  </si>
  <si>
    <t>CUST985</t>
  </si>
  <si>
    <t>CUST989</t>
  </si>
  <si>
    <t>CUST992</t>
  </si>
  <si>
    <t>CUST993</t>
  </si>
  <si>
    <t>CUST999</t>
  </si>
  <si>
    <t>CUST1000</t>
  </si>
  <si>
    <t>CUST006</t>
  </si>
  <si>
    <t>Beauty</t>
  </si>
  <si>
    <t>CUST012</t>
  </si>
  <si>
    <t>CUST027</t>
  </si>
  <si>
    <t>CUST030</t>
  </si>
  <si>
    <t>CUST032</t>
  </si>
  <si>
    <t>CUST035</t>
  </si>
  <si>
    <t>CUST036</t>
  </si>
  <si>
    <t>CUST037</t>
  </si>
  <si>
    <t>CUST050</t>
  </si>
  <si>
    <t>CUST051</t>
  </si>
  <si>
    <t>CUST052</t>
  </si>
  <si>
    <t>CUST055</t>
  </si>
  <si>
    <t>CUST057</t>
  </si>
  <si>
    <t>CUST067</t>
  </si>
  <si>
    <t>CUST069</t>
  </si>
  <si>
    <t>CUST071</t>
  </si>
  <si>
    <t>CUST079</t>
  </si>
  <si>
    <t>CUST086</t>
  </si>
  <si>
    <t>CUST102</t>
  </si>
  <si>
    <t>CUST108</t>
  </si>
  <si>
    <t>CUST114</t>
  </si>
  <si>
    <t>CUST129</t>
  </si>
  <si>
    <t>CUST131</t>
  </si>
  <si>
    <t>CUST172</t>
  </si>
  <si>
    <t>CUST174</t>
  </si>
  <si>
    <t>CUST182</t>
  </si>
  <si>
    <t>CUST183</t>
  </si>
  <si>
    <t>CUST190</t>
  </si>
  <si>
    <t>CUST191</t>
  </si>
  <si>
    <t>CUST198</t>
  </si>
  <si>
    <t>CUST204</t>
  </si>
  <si>
    <t>CUST207</t>
  </si>
  <si>
    <t>CUST214</t>
  </si>
  <si>
    <t>CUST218</t>
  </si>
  <si>
    <t>CUST221</t>
  </si>
  <si>
    <t>CUST225</t>
  </si>
  <si>
    <t>CUST229</t>
  </si>
  <si>
    <t>CUST230</t>
  </si>
  <si>
    <t>CUST232</t>
  </si>
  <si>
    <t>CUST233</t>
  </si>
  <si>
    <t>CUST240</t>
  </si>
  <si>
    <t>CUST260</t>
  </si>
  <si>
    <t>CUST262</t>
  </si>
  <si>
    <t>CUST263</t>
  </si>
  <si>
    <t>CUST267</t>
  </si>
  <si>
    <t>CUST271</t>
  </si>
  <si>
    <t>CUST276</t>
  </si>
  <si>
    <t>CUST290</t>
  </si>
  <si>
    <t>CUST292</t>
  </si>
  <si>
    <t>CUST295</t>
  </si>
  <si>
    <t>CUST298</t>
  </si>
  <si>
    <t>CUST302</t>
  </si>
  <si>
    <t>CUST305</t>
  </si>
  <si>
    <t>CUST308</t>
  </si>
  <si>
    <t>CUST309</t>
  </si>
  <si>
    <t>CUST310</t>
  </si>
  <si>
    <t>CUST311</t>
  </si>
  <si>
    <t>CUST323</t>
  </si>
  <si>
    <t>CUST335</t>
  </si>
  <si>
    <t>CUST344</t>
  </si>
  <si>
    <t>CUST350</t>
  </si>
  <si>
    <t>CUST358</t>
  </si>
  <si>
    <t>CUST363</t>
  </si>
  <si>
    <t>CUST371</t>
  </si>
  <si>
    <t>CUST373</t>
  </si>
  <si>
    <t>CUST374</t>
  </si>
  <si>
    <t>CUST376</t>
  </si>
  <si>
    <t>CUST378</t>
  </si>
  <si>
    <t>CUST383</t>
  </si>
  <si>
    <t>CUST387</t>
  </si>
  <si>
    <t>CUST391</t>
  </si>
  <si>
    <t>CUST396</t>
  </si>
  <si>
    <t>CUST397</t>
  </si>
  <si>
    <t>CUST399</t>
  </si>
  <si>
    <t>CUST406</t>
  </si>
  <si>
    <t>CUST413</t>
  </si>
  <si>
    <t>CUST414</t>
  </si>
  <si>
    <t>CUST424</t>
  </si>
  <si>
    <t>CUST435</t>
  </si>
  <si>
    <t>CUST441</t>
  </si>
  <si>
    <t>CUST448</t>
  </si>
  <si>
    <t>CUST450</t>
  </si>
  <si>
    <t>CUST454</t>
  </si>
  <si>
    <t>CUST457</t>
  </si>
  <si>
    <t>CUST469</t>
  </si>
  <si>
    <t>CUST472</t>
  </si>
  <si>
    <t>CUST492</t>
  </si>
  <si>
    <t>CUST493</t>
  </si>
  <si>
    <t>CUST495</t>
  </si>
  <si>
    <t>CUST499</t>
  </si>
  <si>
    <t>CUST500</t>
  </si>
  <si>
    <t>CUST508</t>
  </si>
  <si>
    <t>CUST512</t>
  </si>
  <si>
    <t>CUST516</t>
  </si>
  <si>
    <t>CUST524</t>
  </si>
  <si>
    <t>CUST525</t>
  </si>
  <si>
    <t>CUST535</t>
  </si>
  <si>
    <t>CUST536</t>
  </si>
  <si>
    <t>CUST543</t>
  </si>
  <si>
    <t>CUST555</t>
  </si>
  <si>
    <t>CUST557</t>
  </si>
  <si>
    <t>CUST565</t>
  </si>
  <si>
    <t>CUST573</t>
  </si>
  <si>
    <t>CUST581</t>
  </si>
  <si>
    <t>CUST587</t>
  </si>
  <si>
    <t>CUST597</t>
  </si>
  <si>
    <t>CUST598</t>
  </si>
  <si>
    <t>CUST610</t>
  </si>
  <si>
    <t>CUST614</t>
  </si>
  <si>
    <t>CUST622</t>
  </si>
  <si>
    <t>CUST624</t>
  </si>
  <si>
    <t>CUST633</t>
  </si>
  <si>
    <t>CUST644</t>
  </si>
  <si>
    <t>CUST648</t>
  </si>
  <si>
    <t>CUST656</t>
  </si>
  <si>
    <t>CUST669</t>
  </si>
  <si>
    <t>CUST670</t>
  </si>
  <si>
    <t>CUST679</t>
  </si>
  <si>
    <t>CUST682</t>
  </si>
  <si>
    <t>CUST701</t>
  </si>
  <si>
    <t>CUST708</t>
  </si>
  <si>
    <t>CUST712</t>
  </si>
  <si>
    <t>CUST713</t>
  </si>
  <si>
    <t>CUST715</t>
  </si>
  <si>
    <t>CUST718</t>
  </si>
  <si>
    <t>CUST722</t>
  </si>
  <si>
    <t>CUST727</t>
  </si>
  <si>
    <t>CUST733</t>
  </si>
  <si>
    <t>CUST739</t>
  </si>
  <si>
    <t>CUST747</t>
  </si>
  <si>
    <t>CUST749</t>
  </si>
  <si>
    <t>CUST767</t>
  </si>
  <si>
    <t>CUST768</t>
  </si>
  <si>
    <t>CUST778</t>
  </si>
  <si>
    <t>CUST788</t>
  </si>
  <si>
    <t>CUST791</t>
  </si>
  <si>
    <t>CUST793</t>
  </si>
  <si>
    <t>CUST794</t>
  </si>
  <si>
    <t>CUST796</t>
  </si>
  <si>
    <t>CUST802</t>
  </si>
  <si>
    <t>CUST806</t>
  </si>
  <si>
    <t>CUST811</t>
  </si>
  <si>
    <t>CUST825</t>
  </si>
  <si>
    <t>CUST827</t>
  </si>
  <si>
    <t>CUST829</t>
  </si>
  <si>
    <t>CUST834</t>
  </si>
  <si>
    <t>CUST837</t>
  </si>
  <si>
    <t>CUST855</t>
  </si>
  <si>
    <t>CUST871</t>
  </si>
  <si>
    <t>CUST872</t>
  </si>
  <si>
    <t>CUST874</t>
  </si>
  <si>
    <t>CUST905</t>
  </si>
  <si>
    <t>CUST908</t>
  </si>
  <si>
    <t>CUST915</t>
  </si>
  <si>
    <t>CUST919</t>
  </si>
  <si>
    <t>CUST920</t>
  </si>
  <si>
    <t>CUST923</t>
  </si>
  <si>
    <t>CUST929</t>
  </si>
  <si>
    <t>CUST931</t>
  </si>
  <si>
    <t>CUST932</t>
  </si>
  <si>
    <t>CUST933</t>
  </si>
  <si>
    <t>CUST945</t>
  </si>
  <si>
    <t>CUST947</t>
  </si>
  <si>
    <t>CUST953</t>
  </si>
  <si>
    <t>CUST967</t>
  </si>
  <si>
    <t>CUST972</t>
  </si>
  <si>
    <t>CUST974</t>
  </si>
  <si>
    <t>CUST976</t>
  </si>
  <si>
    <t>CUST979</t>
  </si>
  <si>
    <t>CUST982</t>
  </si>
  <si>
    <t>CUST997</t>
  </si>
  <si>
    <t>CUST998</t>
  </si>
  <si>
    <t>CUST001</t>
  </si>
  <si>
    <t>CUST005</t>
  </si>
  <si>
    <t>CUST025</t>
  </si>
  <si>
    <t>CUST038</t>
  </si>
  <si>
    <t>CUST040</t>
  </si>
  <si>
    <t>CUST060</t>
  </si>
  <si>
    <t>CUST061</t>
  </si>
  <si>
    <t>CUST062</t>
  </si>
  <si>
    <t>CUST075</t>
  </si>
  <si>
    <t>CUST082</t>
  </si>
  <si>
    <t>CUST087</t>
  </si>
  <si>
    <t>CUST098</t>
  </si>
  <si>
    <t>CUST120</t>
  </si>
  <si>
    <t>CUST176</t>
  </si>
  <si>
    <t>CUST177</t>
  </si>
  <si>
    <t>CUST189</t>
  </si>
  <si>
    <t>CUST192</t>
  </si>
  <si>
    <t>CUST200</t>
  </si>
  <si>
    <t>CUST244</t>
  </si>
  <si>
    <t>CUST251</t>
  </si>
  <si>
    <t>CUST273</t>
  </si>
  <si>
    <t>CUST328</t>
  </si>
  <si>
    <t>CUST330</t>
  </si>
  <si>
    <t>CUST336</t>
  </si>
  <si>
    <t>CUST338</t>
  </si>
  <si>
    <t>CUST349</t>
  </si>
  <si>
    <t>CUST354</t>
  </si>
  <si>
    <t>CUST433</t>
  </si>
  <si>
    <t>CUST460</t>
  </si>
  <si>
    <t>CUST473</t>
  </si>
  <si>
    <t>CUST494</t>
  </si>
  <si>
    <t>CUST504</t>
  </si>
  <si>
    <t>CUST505</t>
  </si>
  <si>
    <t>CUST510</t>
  </si>
  <si>
    <t>CUST511</t>
  </si>
  <si>
    <t>CUST542</t>
  </si>
  <si>
    <t>CUST549</t>
  </si>
  <si>
    <t>CUST554</t>
  </si>
  <si>
    <t>CUST576</t>
  </si>
  <si>
    <t>CUST584</t>
  </si>
  <si>
    <t>CUST599</t>
  </si>
  <si>
    <t>CUST618</t>
  </si>
  <si>
    <t>CUST628</t>
  </si>
  <si>
    <t>CUST639</t>
  </si>
  <si>
    <t>CUST652</t>
  </si>
  <si>
    <t>CUST672</t>
  </si>
  <si>
    <t>CUST723</t>
  </si>
  <si>
    <t>CUST740</t>
  </si>
  <si>
    <t>CUST745</t>
  </si>
  <si>
    <t>CUST785</t>
  </si>
  <si>
    <t>CUST792</t>
  </si>
  <si>
    <t>CUST809</t>
  </si>
  <si>
    <t>CUST817</t>
  </si>
  <si>
    <t>CUST819</t>
  </si>
  <si>
    <t>CUST822</t>
  </si>
  <si>
    <t>CUST833</t>
  </si>
  <si>
    <t>CUST846</t>
  </si>
  <si>
    <t>CUST902</t>
  </si>
  <si>
    <t>CUST903</t>
  </si>
  <si>
    <t>CUST910</t>
  </si>
  <si>
    <t>CUST912</t>
  </si>
  <si>
    <t>CUST924</t>
  </si>
  <si>
    <t>CUST935</t>
  </si>
  <si>
    <t>CUST936</t>
  </si>
  <si>
    <t>CUST951</t>
  </si>
  <si>
    <t>CUST961</t>
  </si>
  <si>
    <t>CUST963</t>
  </si>
  <si>
    <t>CUST021</t>
  </si>
  <si>
    <t>CUST028</t>
  </si>
  <si>
    <t>CUST047</t>
  </si>
  <si>
    <t>CUST074</t>
  </si>
  <si>
    <t>CUST093</t>
  </si>
  <si>
    <t>CUST094</t>
  </si>
  <si>
    <t>CUST097</t>
  </si>
  <si>
    <t>CUST104</t>
  </si>
  <si>
    <t>CUST128</t>
  </si>
  <si>
    <t>CUST137</t>
  </si>
  <si>
    <t>CUST139</t>
  </si>
  <si>
    <t>CUST144</t>
  </si>
  <si>
    <t>CUST161</t>
  </si>
  <si>
    <t>CUST164</t>
  </si>
  <si>
    <t>CUST169</t>
  </si>
  <si>
    <t>CUST193</t>
  </si>
  <si>
    <t>CUST199</t>
  </si>
  <si>
    <t>CUST211</t>
  </si>
  <si>
    <t>CUST213</t>
  </si>
  <si>
    <t>CUST220</t>
  </si>
  <si>
    <t>CUST237</t>
  </si>
  <si>
    <t>CUST238</t>
  </si>
  <si>
    <t>CUST257</t>
  </si>
  <si>
    <t>CUST281</t>
  </si>
  <si>
    <t>CUST313</t>
  </si>
  <si>
    <t>CUST364</t>
  </si>
  <si>
    <t>CUST372</t>
  </si>
  <si>
    <t>CUST393</t>
  </si>
  <si>
    <t>CUST408</t>
  </si>
  <si>
    <t>CUST447</t>
  </si>
  <si>
    <t>CUST461</t>
  </si>
  <si>
    <t>CUST463</t>
  </si>
  <si>
    <t>CUST480</t>
  </si>
  <si>
    <t>CUST503</t>
  </si>
  <si>
    <t>CUST506</t>
  </si>
  <si>
    <t>CUST522</t>
  </si>
  <si>
    <t>CUST537</t>
  </si>
  <si>
    <t>CUST539</t>
  </si>
  <si>
    <t>CUST541</t>
  </si>
  <si>
    <t>CUST577</t>
  </si>
  <si>
    <t>CUST589</t>
  </si>
  <si>
    <t>CUST592</t>
  </si>
  <si>
    <t>CUST600</t>
  </si>
  <si>
    <t>CUST611</t>
  </si>
  <si>
    <t>CUST621</t>
  </si>
  <si>
    <t>CUST636</t>
  </si>
  <si>
    <t>CUST660</t>
  </si>
  <si>
    <t>CUST662</t>
  </si>
  <si>
    <t>CUST677</t>
  </si>
  <si>
    <t>CUST683</t>
  </si>
  <si>
    <t>CUST693</t>
  </si>
  <si>
    <t>CUST720</t>
  </si>
  <si>
    <t>CUST743</t>
  </si>
  <si>
    <t>CUST760</t>
  </si>
  <si>
    <t>CUST781</t>
  </si>
  <si>
    <t>CUST805</t>
  </si>
  <si>
    <t>CUST808</t>
  </si>
  <si>
    <t>CUST816</t>
  </si>
  <si>
    <t>CUST832</t>
  </si>
  <si>
    <t>CUST843</t>
  </si>
  <si>
    <t>CUST850</t>
  </si>
  <si>
    <t>CUST853</t>
  </si>
  <si>
    <t>CUST869</t>
  </si>
  <si>
    <t>CUST880</t>
  </si>
  <si>
    <t>CUST934</t>
  </si>
  <si>
    <t>CUST937</t>
  </si>
  <si>
    <t>CUST990</t>
  </si>
  <si>
    <t>CUST994</t>
  </si>
  <si>
    <t>Average Price Per Unit</t>
  </si>
  <si>
    <t>Sum of Total Amount</t>
  </si>
  <si>
    <t>Average of Price per Unit</t>
  </si>
  <si>
    <t>Count Order</t>
  </si>
  <si>
    <t>2</t>
  </si>
  <si>
    <t>1</t>
  </si>
  <si>
    <t>3</t>
  </si>
  <si>
    <t>Count of Count Order</t>
  </si>
  <si>
    <t>May</t>
  </si>
  <si>
    <t>Qtr3</t>
  </si>
  <si>
    <t>Date (Year)</t>
  </si>
  <si>
    <t>Date (Quarter)</t>
  </si>
  <si>
    <t>Date (Month Index)</t>
  </si>
  <si>
    <t>Date (Month)</t>
  </si>
  <si>
    <t>2023</t>
  </si>
  <si>
    <t>Qtr1</t>
  </si>
  <si>
    <t>Mar</t>
  </si>
  <si>
    <t>Qtr2</t>
  </si>
  <si>
    <t>Apr</t>
  </si>
  <si>
    <t>Sep</t>
  </si>
  <si>
    <t>Feb</t>
  </si>
  <si>
    <t>Jan</t>
  </si>
  <si>
    <t>Jul</t>
  </si>
  <si>
    <t>Qtr4</t>
  </si>
  <si>
    <t>Nov</t>
  </si>
  <si>
    <t>Oct</t>
  </si>
  <si>
    <t>Jun</t>
  </si>
  <si>
    <t>Aug</t>
  </si>
  <si>
    <t>Dec</t>
  </si>
  <si>
    <t>2024</t>
  </si>
  <si>
    <t>Sum of Quantity</t>
  </si>
  <si>
    <t>Retail Growth &amp; Buyer Behavior Tracker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</si>
</sst>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0;\(\$#,##0.00\);\$#,##0.00"/>
    <numFmt numFmtId="170" formatCode="\$#,##0;\(\$#,##0\);\$#,##0"/>
    <numFmt numFmtId="172" formatCode="_(&quot;$&quot;* #,##0_);_(&quot;$&quot;* \(#,##0\);_(&quot;$&quot;* &quot;-&quot;??_);_(@_)"/>
  </numFmts>
  <fonts count="4" x14ac:knownFonts="1">
    <font>
      <sz val="11"/>
      <color theme="1"/>
      <name val="Aptos Narrow"/>
      <family val="2"/>
      <scheme val="minor"/>
    </font>
    <font>
      <sz val="11"/>
      <color theme="1"/>
      <name val="Aptos Narrow"/>
      <family val="2"/>
      <scheme val="minor"/>
    </font>
    <font>
      <sz val="8"/>
      <name val="Aptos Narrow"/>
      <family val="2"/>
      <scheme val="minor"/>
    </font>
    <font>
      <b/>
      <sz val="28"/>
      <color theme="0"/>
      <name val="Arial"/>
      <family val="2"/>
    </font>
  </fonts>
  <fills count="6">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3" tint="0.249977111117893"/>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0" borderId="0" xfId="0" applyNumberFormat="1"/>
    <xf numFmtId="14" fontId="0" fillId="0" borderId="0" xfId="0" applyNumberFormat="1"/>
    <xf numFmtId="44" fontId="0" fillId="0" borderId="0" xfId="1" applyFont="1"/>
    <xf numFmtId="0" fontId="0" fillId="2" borderId="0" xfId="0" applyFill="1"/>
    <xf numFmtId="0" fontId="0" fillId="3" borderId="0" xfId="0" applyFill="1"/>
    <xf numFmtId="170" fontId="0" fillId="0" borderId="0" xfId="0" applyNumberFormat="1"/>
    <xf numFmtId="172" fontId="0" fillId="0" borderId="0" xfId="1" applyNumberFormat="1" applyFont="1"/>
    <xf numFmtId="0" fontId="0" fillId="4" borderId="0" xfId="0" applyFill="1"/>
    <xf numFmtId="0" fontId="0" fillId="5" borderId="0" xfId="0" applyFill="1"/>
    <xf numFmtId="0" fontId="3" fillId="5" borderId="0" xfId="0" applyFont="1" applyFill="1" applyAlignment="1">
      <alignment horizontal="center" vertical="center"/>
    </xf>
    <xf numFmtId="0" fontId="3" fillId="5" borderId="0" xfId="0" applyFont="1" applyFill="1" applyAlignment="1">
      <alignment horizontal="center" vertical="center"/>
    </xf>
  </cellXfs>
  <cellStyles count="2">
    <cellStyle name="Currency" xfId="1" builtinId="4"/>
    <cellStyle name="Normal" xfId="0" builtinId="0"/>
  </cellStyles>
  <dxfs count="28">
    <dxf>
      <numFmt numFmtId="170" formatCode="\$#,##0;\(\$#,##0\);\$#,##0"/>
    </dxf>
    <dxf>
      <numFmt numFmtId="169" formatCode="\$#,##0.0;\(\$#,##0.0\);\$#,##0.0"/>
    </dxf>
    <dxf>
      <numFmt numFmtId="170" formatCode="\$#,##0;\(\$#,##0\);\$#,##0"/>
    </dxf>
    <dxf>
      <numFmt numFmtId="169" formatCode="\$#,##0.0;\(\$#,##0.0\);\$#,##0.0"/>
    </dxf>
    <dxf>
      <numFmt numFmtId="170"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0"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numFmt numFmtId="172" formatCode="_(&quot;$&quot;* #,##0_);_(&quot;$&quot;* \(#,##0\);_(&quot;$&quot;* &quot;-&quot;??_);_(@_)"/>
    </dxf>
    <dxf>
      <font>
        <b val="0"/>
        <i val="0"/>
        <strike val="0"/>
        <condense val="0"/>
        <extend val="0"/>
        <outline val="0"/>
        <shadow val="0"/>
        <u val="none"/>
        <vertAlign val="baseline"/>
        <sz val="11"/>
        <color theme="1"/>
        <name val="Aptos Narrow"/>
        <family val="2"/>
        <scheme val="minor"/>
      </font>
      <numFmt numFmtId="172" formatCode="_(&quot;$&quot;* #,##0_);_(&quot;$&quot;* \(#,##0\);_(&quot;$&quot;* &quot;-&quot;??_);_(@_)"/>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aredStrings" Target="sharedString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pivotCacheDefinition" Target="pivotCache/pivotCacheDefinition1.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4.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Data.xlsx]Pivot_tables!PivotTable1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Pivot_tables!$B$2</c:f>
              <c:strCache>
                <c:ptCount val="1"/>
                <c:pt idx="0">
                  <c:v>Sum of Total Amount</c:v>
                </c:pt>
              </c:strCache>
            </c:strRef>
          </c:tx>
          <c:spPr>
            <a:solidFill>
              <a:schemeClr val="accent1"/>
            </a:solidFill>
            <a:ln>
              <a:noFill/>
            </a:ln>
            <a:effectLst/>
          </c:spPr>
          <c:invertIfNegative val="0"/>
          <c:cat>
            <c:multiLvlStrRef>
              <c:f>Pivot_tables!$A$3:$A$12</c:f>
              <c:multiLvlStrCache>
                <c:ptCount val="6"/>
                <c:lvl>
                  <c:pt idx="0">
                    <c:v>Female</c:v>
                  </c:pt>
                  <c:pt idx="1">
                    <c:v>Male</c:v>
                  </c:pt>
                  <c:pt idx="2">
                    <c:v>Female</c:v>
                  </c:pt>
                  <c:pt idx="3">
                    <c:v>Male</c:v>
                  </c:pt>
                  <c:pt idx="4">
                    <c:v>Female</c:v>
                  </c:pt>
                  <c:pt idx="5">
                    <c:v>Male</c:v>
                  </c:pt>
                </c:lvl>
                <c:lvl>
                  <c:pt idx="0">
                    <c:v>Adolescent</c:v>
                  </c:pt>
                  <c:pt idx="2">
                    <c:v>Middle Age</c:v>
                  </c:pt>
                  <c:pt idx="4">
                    <c:v>Old</c:v>
                  </c:pt>
                </c:lvl>
              </c:multiLvlStrCache>
            </c:multiLvlStrRef>
          </c:cat>
          <c:val>
            <c:numRef>
              <c:f>Pivot_tables!$B$3:$B$12</c:f>
              <c:numCache>
                <c:formatCode>\$#,##0;\(\$#,##0\);\$#,##0</c:formatCode>
                <c:ptCount val="6"/>
                <c:pt idx="0">
                  <c:v>63525</c:v>
                </c:pt>
                <c:pt idx="1">
                  <c:v>59630</c:v>
                </c:pt>
                <c:pt idx="2">
                  <c:v>131105</c:v>
                </c:pt>
                <c:pt idx="3">
                  <c:v>121330</c:v>
                </c:pt>
                <c:pt idx="4">
                  <c:v>38210</c:v>
                </c:pt>
                <c:pt idx="5">
                  <c:v>42200</c:v>
                </c:pt>
              </c:numCache>
            </c:numRef>
          </c:val>
          <c:extLst>
            <c:ext xmlns:c16="http://schemas.microsoft.com/office/drawing/2014/chart" uri="{C3380CC4-5D6E-409C-BE32-E72D297353CC}">
              <c16:uniqueId val="{00000000-4E5C-41DA-9C43-FCB566904DC5}"/>
            </c:ext>
          </c:extLst>
        </c:ser>
        <c:ser>
          <c:idx val="1"/>
          <c:order val="1"/>
          <c:tx>
            <c:strRef>
              <c:f>Pivot_tables!$C$2</c:f>
              <c:strCache>
                <c:ptCount val="1"/>
                <c:pt idx="0">
                  <c:v>Count of Count Order</c:v>
                </c:pt>
              </c:strCache>
            </c:strRef>
          </c:tx>
          <c:spPr>
            <a:solidFill>
              <a:schemeClr val="accent2"/>
            </a:solidFill>
            <a:ln>
              <a:noFill/>
            </a:ln>
            <a:effectLst/>
          </c:spPr>
          <c:invertIfNegative val="0"/>
          <c:cat>
            <c:multiLvlStrRef>
              <c:f>Pivot_tables!$A$3:$A$12</c:f>
              <c:multiLvlStrCache>
                <c:ptCount val="6"/>
                <c:lvl>
                  <c:pt idx="0">
                    <c:v>Female</c:v>
                  </c:pt>
                  <c:pt idx="1">
                    <c:v>Male</c:v>
                  </c:pt>
                  <c:pt idx="2">
                    <c:v>Female</c:v>
                  </c:pt>
                  <c:pt idx="3">
                    <c:v>Male</c:v>
                  </c:pt>
                  <c:pt idx="4">
                    <c:v>Female</c:v>
                  </c:pt>
                  <c:pt idx="5">
                    <c:v>Male</c:v>
                  </c:pt>
                </c:lvl>
                <c:lvl>
                  <c:pt idx="0">
                    <c:v>Adolescent</c:v>
                  </c:pt>
                  <c:pt idx="2">
                    <c:v>Middle Age</c:v>
                  </c:pt>
                  <c:pt idx="4">
                    <c:v>Old</c:v>
                  </c:pt>
                </c:lvl>
              </c:multiLvlStrCache>
            </c:multiLvlStrRef>
          </c:cat>
          <c:val>
            <c:numRef>
              <c:f>Pivot_tables!$C$3:$C$12</c:f>
              <c:numCache>
                <c:formatCode>General</c:formatCode>
                <c:ptCount val="6"/>
                <c:pt idx="0">
                  <c:v>129</c:v>
                </c:pt>
                <c:pt idx="1">
                  <c:v>122</c:v>
                </c:pt>
                <c:pt idx="2">
                  <c:v>285</c:v>
                </c:pt>
                <c:pt idx="3">
                  <c:v>269</c:v>
                </c:pt>
                <c:pt idx="4">
                  <c:v>96</c:v>
                </c:pt>
                <c:pt idx="5">
                  <c:v>99</c:v>
                </c:pt>
              </c:numCache>
            </c:numRef>
          </c:val>
          <c:extLst>
            <c:ext xmlns:c16="http://schemas.microsoft.com/office/drawing/2014/chart" uri="{C3380CC4-5D6E-409C-BE32-E72D297353CC}">
              <c16:uniqueId val="{00000003-4E5C-41DA-9C43-FCB566904DC5}"/>
            </c:ext>
          </c:extLst>
        </c:ser>
        <c:dLbls>
          <c:showLegendKey val="0"/>
          <c:showVal val="0"/>
          <c:showCatName val="0"/>
          <c:showSerName val="0"/>
          <c:showPercent val="0"/>
          <c:showBubbleSize val="0"/>
        </c:dLbls>
        <c:gapWidth val="182"/>
        <c:overlap val="100"/>
        <c:axId val="51005376"/>
        <c:axId val="51003456"/>
      </c:barChart>
      <c:catAx>
        <c:axId val="51005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03456"/>
        <c:crosses val="autoZero"/>
        <c:auto val="1"/>
        <c:lblAlgn val="ctr"/>
        <c:lblOffset val="100"/>
        <c:noMultiLvlLbl val="0"/>
      </c:catAx>
      <c:valAx>
        <c:axId val="510034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053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9638402958250909"/>
          <c:y val="0.40997893781795797"/>
          <c:w val="0.18303617117311888"/>
          <c:h val="0.150502725620835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Data.xlsx]Pivot_tables!PivotTable2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Pivot_tables!$A$17:$A$22</c:f>
              <c:multiLvlStrCache>
                <c:ptCount val="4"/>
                <c:lvl>
                  <c:pt idx="0">
                    <c:v>Qtr1</c:v>
                  </c:pt>
                  <c:pt idx="1">
                    <c:v>Qtr2</c:v>
                  </c:pt>
                  <c:pt idx="2">
                    <c:v>Qtr3</c:v>
                  </c:pt>
                  <c:pt idx="3">
                    <c:v>Qtr4</c:v>
                  </c:pt>
                </c:lvl>
                <c:lvl>
                  <c:pt idx="0">
                    <c:v>2023</c:v>
                  </c:pt>
                </c:lvl>
              </c:multiLvlStrCache>
            </c:multiLvlStrRef>
          </c:cat>
          <c:val>
            <c:numRef>
              <c:f>Pivot_tables!$B$17:$B$22</c:f>
              <c:numCache>
                <c:formatCode>\$#,##0.00;\(\$#,##0.00\);\$#,##0.00</c:formatCode>
                <c:ptCount val="4"/>
                <c:pt idx="0">
                  <c:v>108500</c:v>
                </c:pt>
                <c:pt idx="1">
                  <c:v>123735</c:v>
                </c:pt>
                <c:pt idx="2">
                  <c:v>96045</c:v>
                </c:pt>
                <c:pt idx="3">
                  <c:v>126190</c:v>
                </c:pt>
              </c:numCache>
            </c:numRef>
          </c:val>
          <c:smooth val="0"/>
          <c:extLst>
            <c:ext xmlns:c16="http://schemas.microsoft.com/office/drawing/2014/chart" uri="{C3380CC4-5D6E-409C-BE32-E72D297353CC}">
              <c16:uniqueId val="{00000000-1990-444C-837C-B89F7F3A80B9}"/>
            </c:ext>
          </c:extLst>
        </c:ser>
        <c:dLbls>
          <c:showLegendKey val="0"/>
          <c:showVal val="0"/>
          <c:showCatName val="0"/>
          <c:showSerName val="0"/>
          <c:showPercent val="0"/>
          <c:showBubbleSize val="0"/>
        </c:dLbls>
        <c:marker val="1"/>
        <c:smooth val="0"/>
        <c:axId val="70684592"/>
        <c:axId val="70685552"/>
      </c:lineChart>
      <c:catAx>
        <c:axId val="70684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2023 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85552"/>
        <c:crosses val="autoZero"/>
        <c:auto val="1"/>
        <c:lblAlgn val="ctr"/>
        <c:lblOffset val="100"/>
        <c:noMultiLvlLbl val="0"/>
      </c:catAx>
      <c:valAx>
        <c:axId val="70685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8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Data.xlsx]Pivot_tables!PivotTable3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Pivot_tables!$F$16</c:f>
              <c:strCache>
                <c:ptCount val="1"/>
                <c:pt idx="0">
                  <c:v>Sum of Total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22-4E8D-8919-6F14B9395D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22-4E8D-8919-6F14B9395D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22-4E8D-8919-6F14B9395DC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Pivot_tables!$E$17:$E$20</c:f>
              <c:strCache>
                <c:ptCount val="3"/>
                <c:pt idx="0">
                  <c:v>Electronics</c:v>
                </c:pt>
                <c:pt idx="1">
                  <c:v>Clothing</c:v>
                </c:pt>
                <c:pt idx="2">
                  <c:v>Beauty</c:v>
                </c:pt>
              </c:strCache>
            </c:strRef>
          </c:cat>
          <c:val>
            <c:numRef>
              <c:f>Pivot_tables!$F$17:$F$20</c:f>
              <c:numCache>
                <c:formatCode>\$#,##0;\(\$#,##0\);\$#,##0</c:formatCode>
                <c:ptCount val="3"/>
                <c:pt idx="0">
                  <c:v>156905</c:v>
                </c:pt>
                <c:pt idx="1">
                  <c:v>155580</c:v>
                </c:pt>
                <c:pt idx="2">
                  <c:v>143515</c:v>
                </c:pt>
              </c:numCache>
            </c:numRef>
          </c:val>
          <c:extLst>
            <c:ext xmlns:c16="http://schemas.microsoft.com/office/drawing/2014/chart" uri="{C3380CC4-5D6E-409C-BE32-E72D297353CC}">
              <c16:uniqueId val="{00000006-1F22-4E8D-8919-6F14B9395DC6}"/>
            </c:ext>
          </c:extLst>
        </c:ser>
        <c:ser>
          <c:idx val="1"/>
          <c:order val="1"/>
          <c:tx>
            <c:strRef>
              <c:f>Pivot_tables!$G$16</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1F22-4E8D-8919-6F14B9395D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1F22-4E8D-8919-6F14B9395D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1F22-4E8D-8919-6F14B9395D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Pivot_tables!$E$17:$E$20</c:f>
              <c:strCache>
                <c:ptCount val="3"/>
                <c:pt idx="0">
                  <c:v>Electronics</c:v>
                </c:pt>
                <c:pt idx="1">
                  <c:v>Clothing</c:v>
                </c:pt>
                <c:pt idx="2">
                  <c:v>Beauty</c:v>
                </c:pt>
              </c:strCache>
            </c:strRef>
          </c:cat>
          <c:val>
            <c:numRef>
              <c:f>Pivot_tables!$G$17:$G$20</c:f>
              <c:numCache>
                <c:formatCode>General</c:formatCode>
                <c:ptCount val="3"/>
                <c:pt idx="0">
                  <c:v>849</c:v>
                </c:pt>
                <c:pt idx="1">
                  <c:v>894</c:v>
                </c:pt>
                <c:pt idx="2">
                  <c:v>771</c:v>
                </c:pt>
              </c:numCache>
            </c:numRef>
          </c:val>
          <c:extLst>
            <c:ext xmlns:c16="http://schemas.microsoft.com/office/drawing/2014/chart" uri="{C3380CC4-5D6E-409C-BE32-E72D297353CC}">
              <c16:uniqueId val="{0000000D-1F22-4E8D-8919-6F14B9395DC6}"/>
            </c:ext>
          </c:extLst>
        </c:ser>
        <c:ser>
          <c:idx val="2"/>
          <c:order val="2"/>
          <c:tx>
            <c:strRef>
              <c:f>Pivot_tables!$H$16</c:f>
              <c:strCache>
                <c:ptCount val="1"/>
                <c:pt idx="0">
                  <c:v>Average of Price per Unit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1F22-4E8D-8919-6F14B9395D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1F22-4E8D-8919-6F14B9395D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1F22-4E8D-8919-6F14B9395D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Pivot_tables!$E$17:$E$20</c:f>
              <c:strCache>
                <c:ptCount val="3"/>
                <c:pt idx="0">
                  <c:v>Electronics</c:v>
                </c:pt>
                <c:pt idx="1">
                  <c:v>Clothing</c:v>
                </c:pt>
                <c:pt idx="2">
                  <c:v>Beauty</c:v>
                </c:pt>
              </c:strCache>
            </c:strRef>
          </c:cat>
          <c:val>
            <c:numRef>
              <c:f>Pivot_tables!$H$17:$H$20</c:f>
              <c:numCache>
                <c:formatCode>\$#,##0.00;\(\$#,##0.00\);\$#,##0.00</c:formatCode>
                <c:ptCount val="3"/>
                <c:pt idx="0">
                  <c:v>181.90058479532163</c:v>
                </c:pt>
                <c:pt idx="1">
                  <c:v>174.28774928774928</c:v>
                </c:pt>
                <c:pt idx="2">
                  <c:v>184.05537459283389</c:v>
                </c:pt>
              </c:numCache>
            </c:numRef>
          </c:val>
          <c:extLst>
            <c:ext xmlns:c16="http://schemas.microsoft.com/office/drawing/2014/chart" uri="{C3380CC4-5D6E-409C-BE32-E72D297353CC}">
              <c16:uniqueId val="{00000014-1F22-4E8D-8919-6F14B9395D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Data.xlsx]Pivot_tables!PivotTable5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Basket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Pivot_tables!$F$24</c:f>
              <c:strCache>
                <c:ptCount val="1"/>
                <c:pt idx="0">
                  <c:v>Total</c:v>
                </c:pt>
              </c:strCache>
            </c:strRef>
          </c:tx>
          <c:spPr>
            <a:solidFill>
              <a:schemeClr val="accent1"/>
            </a:solidFill>
            <a:ln>
              <a:noFill/>
            </a:ln>
            <a:effectLst/>
          </c:spPr>
          <c:invertIfNegative val="0"/>
          <c:cat>
            <c:strRef>
              <c:f>Pivot_tables!$E$25:$E$29</c:f>
              <c:strCache>
                <c:ptCount val="4"/>
                <c:pt idx="0">
                  <c:v>1</c:v>
                </c:pt>
                <c:pt idx="1">
                  <c:v>2</c:v>
                </c:pt>
                <c:pt idx="2">
                  <c:v>3</c:v>
                </c:pt>
                <c:pt idx="3">
                  <c:v>4</c:v>
                </c:pt>
              </c:strCache>
            </c:strRef>
          </c:cat>
          <c:val>
            <c:numRef>
              <c:f>Pivot_tables!$F$25:$F$29</c:f>
              <c:numCache>
                <c:formatCode>General</c:formatCode>
                <c:ptCount val="4"/>
                <c:pt idx="0">
                  <c:v>253</c:v>
                </c:pt>
                <c:pt idx="1">
                  <c:v>243</c:v>
                </c:pt>
                <c:pt idx="2">
                  <c:v>241</c:v>
                </c:pt>
                <c:pt idx="3">
                  <c:v>263</c:v>
                </c:pt>
              </c:numCache>
            </c:numRef>
          </c:val>
          <c:extLst>
            <c:ext xmlns:c16="http://schemas.microsoft.com/office/drawing/2014/chart" uri="{C3380CC4-5D6E-409C-BE32-E72D297353CC}">
              <c16:uniqueId val="{00000000-E2EE-4336-8E95-82CCE362AC8A}"/>
            </c:ext>
          </c:extLst>
        </c:ser>
        <c:dLbls>
          <c:showLegendKey val="0"/>
          <c:showVal val="0"/>
          <c:showCatName val="0"/>
          <c:showSerName val="0"/>
          <c:showPercent val="0"/>
          <c:showBubbleSize val="0"/>
        </c:dLbls>
        <c:gapWidth val="219"/>
        <c:overlap val="-27"/>
        <c:axId val="1274078608"/>
        <c:axId val="1274079088"/>
      </c:barChart>
      <c:catAx>
        <c:axId val="1274078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79088"/>
        <c:crosses val="autoZero"/>
        <c:auto val="1"/>
        <c:lblAlgn val="ctr"/>
        <c:lblOffset val="100"/>
        <c:noMultiLvlLbl val="0"/>
      </c:catAx>
      <c:valAx>
        <c:axId val="1274079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Order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7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47626</xdr:colOff>
      <xdr:row>19</xdr:row>
      <xdr:rowOff>66674</xdr:rowOff>
    </xdr:from>
    <xdr:to>
      <xdr:col>12</xdr:col>
      <xdr:colOff>323850</xdr:colOff>
      <xdr:row>34</xdr:row>
      <xdr:rowOff>57149</xdr:rowOff>
    </xdr:to>
    <xdr:graphicFrame macro="">
      <xdr:nvGraphicFramePr>
        <xdr:cNvPr id="2" name="Chart 1">
          <a:extLst>
            <a:ext uri="{FF2B5EF4-FFF2-40B4-BE49-F238E27FC236}">
              <a16:creationId xmlns:a16="http://schemas.microsoft.com/office/drawing/2014/main" id="{D9044E51-42FF-4F1C-829A-9E798A1D1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47623</xdr:colOff>
      <xdr:row>5</xdr:row>
      <xdr:rowOff>95251</xdr:rowOff>
    </xdr:from>
    <xdr:to>
      <xdr:col>10</xdr:col>
      <xdr:colOff>142874</xdr:colOff>
      <xdr:row>19</xdr:row>
      <xdr:rowOff>28575</xdr:rowOff>
    </xdr:to>
    <xdr:graphicFrame macro="">
      <xdr:nvGraphicFramePr>
        <xdr:cNvPr id="3" name="Chart 2">
          <a:extLst>
            <a:ext uri="{FF2B5EF4-FFF2-40B4-BE49-F238E27FC236}">
              <a16:creationId xmlns:a16="http://schemas.microsoft.com/office/drawing/2014/main" id="{289AF771-3BEE-4B45-83BE-EB85BBFBD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361950</xdr:colOff>
      <xdr:row>19</xdr:row>
      <xdr:rowOff>66673</xdr:rowOff>
    </xdr:from>
    <xdr:to>
      <xdr:col>17</xdr:col>
      <xdr:colOff>600075</xdr:colOff>
      <xdr:row>34</xdr:row>
      <xdr:rowOff>57150</xdr:rowOff>
    </xdr:to>
    <xdr:graphicFrame macro="">
      <xdr:nvGraphicFramePr>
        <xdr:cNvPr id="4" name="Chart 3">
          <a:extLst>
            <a:ext uri="{FF2B5EF4-FFF2-40B4-BE49-F238E27FC236}">
              <a16:creationId xmlns:a16="http://schemas.microsoft.com/office/drawing/2014/main" id="{73B44116-9392-4F8F-B67C-AF7E4A773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28575</xdr:colOff>
      <xdr:row>19</xdr:row>
      <xdr:rowOff>123825</xdr:rowOff>
    </xdr:from>
    <xdr:to>
      <xdr:col>0</xdr:col>
      <xdr:colOff>1647825</xdr:colOff>
      <xdr:row>26</xdr:row>
      <xdr:rowOff>76200</xdr:rowOff>
    </xdr:to>
    <mc:AlternateContent xmlns:mc="http://schemas.openxmlformats.org/markup-compatibility/2006">
      <mc:Choice xmlns:a14="http://schemas.microsoft.com/office/drawing/2010/main" Requires="a14">
        <xdr:graphicFrame macro="">
          <xdr:nvGraphicFramePr>
            <xdr:cNvPr id="6" name="Age Bracket">
              <a:extLst>
                <a:ext uri="{FF2B5EF4-FFF2-40B4-BE49-F238E27FC236}">
                  <a16:creationId xmlns:a16="http://schemas.microsoft.com/office/drawing/2014/main" id="{A350B6AD-B6F5-A98A-E4DE-C556239DD75D}"/>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dr:sp macro="" textlink="">
          <xdr:nvSpPr>
            <xdr:cNvPr id="0" name=""/>
            <xdr:cNvSpPr>
              <a:spLocks noTextEdit="1"/>
            </xdr:cNvSpPr>
          </xdr:nvSpPr>
          <xdr:spPr>
            <a:xfrm>
              <a:off x="28575" y="4333875"/>
              <a:ext cx="1619250"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14</xdr:row>
      <xdr:rowOff>19050</xdr:rowOff>
    </xdr:from>
    <xdr:to>
      <xdr:col>0</xdr:col>
      <xdr:colOff>1647825</xdr:colOff>
      <xdr:row>19</xdr:row>
      <xdr:rowOff>76200</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35DB7A1E-51D8-A490-1FEC-8E4AEF2E600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9050" y="3276600"/>
              <a:ext cx="1628775"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5</xdr:row>
      <xdr:rowOff>85725</xdr:rowOff>
    </xdr:from>
    <xdr:to>
      <xdr:col>0</xdr:col>
      <xdr:colOff>1638300</xdr:colOff>
      <xdr:row>13</xdr:row>
      <xdr:rowOff>152400</xdr:rowOff>
    </xdr:to>
    <mc:AlternateContent xmlns:mc="http://schemas.openxmlformats.org/markup-compatibility/2006">
      <mc:Choice xmlns:a14="http://schemas.microsoft.com/office/drawing/2010/main" Requires="a14">
        <xdr:graphicFrame macro="">
          <xdr:nvGraphicFramePr>
            <xdr:cNvPr id="8" name="Date (Quarter)">
              <a:extLst>
                <a:ext uri="{FF2B5EF4-FFF2-40B4-BE49-F238E27FC236}">
                  <a16:creationId xmlns:a16="http://schemas.microsoft.com/office/drawing/2014/main" id="{16159051-1FCE-20A2-FE68-C5C85280D539}"/>
                </a:ext>
              </a:extLst>
            </xdr:cNvPr>
            <xdr:cNvGraphicFramePr/>
          </xdr:nvGraphicFramePr>
          <xdr:xfrm>
            <a:off x="0" y="0"/>
            <a:ext cx="0" cy="0"/>
          </xdr:xfrm>
          <a:graphic>
            <a:graphicData uri="http://schemas.microsoft.com/office/drawing/2010/slicer">
              <sle:slicer xmlns:sle="http://schemas.microsoft.com/office/drawing/2010/slicer" name="Date (Quarter)"/>
            </a:graphicData>
          </a:graphic>
        </xdr:graphicFrame>
      </mc:Choice>
      <mc:Fallback>
        <xdr:sp macro="" textlink="">
          <xdr:nvSpPr>
            <xdr:cNvPr id="0" name=""/>
            <xdr:cNvSpPr>
              <a:spLocks noTextEdit="1"/>
            </xdr:cNvSpPr>
          </xdr:nvSpPr>
          <xdr:spPr>
            <a:xfrm>
              <a:off x="19050" y="1628775"/>
              <a:ext cx="1619250"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38099</xdr:colOff>
      <xdr:row>1</xdr:row>
      <xdr:rowOff>38100</xdr:rowOff>
    </xdr:from>
    <xdr:to>
      <xdr:col>5</xdr:col>
      <xdr:colOff>381000</xdr:colOff>
      <xdr:row>5</xdr:row>
      <xdr:rowOff>57150</xdr:rowOff>
    </xdr:to>
    <xdr:sp macro="" textlink="Pivot_tables!E3">
      <xdr:nvSpPr>
        <xdr:cNvPr id="9" name="TextBox 8">
          <a:extLst>
            <a:ext uri="{FF2B5EF4-FFF2-40B4-BE49-F238E27FC236}">
              <a16:creationId xmlns:a16="http://schemas.microsoft.com/office/drawing/2014/main" id="{BF71AB23-7AD1-1CE2-51DC-EEE8F83E9CFD}"/>
            </a:ext>
          </a:extLst>
        </xdr:cNvPr>
        <xdr:cNvSpPr txBox="1"/>
      </xdr:nvSpPr>
      <xdr:spPr>
        <a:xfrm>
          <a:off x="1714499" y="1247775"/>
          <a:ext cx="2228851" cy="781050"/>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1"/>
              </a:solidFill>
              <a:latin typeface="Arial" panose="020B0604020202020204" pitchFamily="34" charset="0"/>
              <a:cs typeface="Arial" panose="020B0604020202020204" pitchFamily="34" charset="0"/>
            </a:rPr>
            <a:t>Total Sales</a:t>
          </a:r>
          <a:br>
            <a:rPr lang="en-US" sz="1600" b="0" i="0" u="none" strike="noStrike">
              <a:solidFill>
                <a:schemeClr val="bg1"/>
              </a:solidFill>
              <a:latin typeface="Arial" panose="020B0604020202020204" pitchFamily="34" charset="0"/>
              <a:cs typeface="Arial" panose="020B0604020202020204" pitchFamily="34" charset="0"/>
            </a:rPr>
          </a:br>
          <a:fld id="{A57980D8-FA03-4119-8061-5375A072EA93}" type="TxLink">
            <a:rPr lang="en-US" sz="1600" b="0" i="0" u="none" strike="noStrike">
              <a:solidFill>
                <a:schemeClr val="bg1"/>
              </a:solidFill>
              <a:latin typeface="Arial" panose="020B0604020202020204" pitchFamily="34" charset="0"/>
              <a:cs typeface="Arial" panose="020B0604020202020204" pitchFamily="34" charset="0"/>
            </a:rPr>
            <a:t> $456,000.00 </a:t>
          </a:fld>
          <a:endParaRPr lang="en-US" sz="2400" b="0">
            <a:solidFill>
              <a:schemeClr val="bg1"/>
            </a:solidFill>
            <a:latin typeface="Arial" panose="020B0604020202020204" pitchFamily="34" charset="0"/>
            <a:cs typeface="Arial" panose="020B0604020202020204" pitchFamily="34" charset="0"/>
          </a:endParaRPr>
        </a:p>
      </xdr:txBody>
    </xdr:sp>
    <xdr:clientData/>
  </xdr:twoCellAnchor>
  <xdr:twoCellAnchor>
    <xdr:from>
      <xdr:col>5</xdr:col>
      <xdr:colOff>428626</xdr:colOff>
      <xdr:row>1</xdr:row>
      <xdr:rowOff>38100</xdr:rowOff>
    </xdr:from>
    <xdr:to>
      <xdr:col>9</xdr:col>
      <xdr:colOff>390526</xdr:colOff>
      <xdr:row>5</xdr:row>
      <xdr:rowOff>57150</xdr:rowOff>
    </xdr:to>
    <xdr:sp macro="" textlink="Pivot_tables!F3">
      <xdr:nvSpPr>
        <xdr:cNvPr id="10" name="TextBox 9">
          <a:extLst>
            <a:ext uri="{FF2B5EF4-FFF2-40B4-BE49-F238E27FC236}">
              <a16:creationId xmlns:a16="http://schemas.microsoft.com/office/drawing/2014/main" id="{F6617A24-8E39-4BA4-B3DB-D78BAD979D11}"/>
            </a:ext>
          </a:extLst>
        </xdr:cNvPr>
        <xdr:cNvSpPr txBox="1"/>
      </xdr:nvSpPr>
      <xdr:spPr>
        <a:xfrm>
          <a:off x="3990976" y="1247775"/>
          <a:ext cx="2400300" cy="781050"/>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chemeClr val="bg1"/>
              </a:solidFill>
              <a:latin typeface="Arial" panose="020B0604020202020204" pitchFamily="34" charset="0"/>
              <a:cs typeface="Arial" panose="020B0604020202020204" pitchFamily="34" charset="0"/>
            </a:rPr>
            <a:t>Total Units</a:t>
          </a:r>
        </a:p>
        <a:p>
          <a:pPr algn="ctr"/>
          <a:fld id="{8B7F04CA-26CA-4B6F-A047-C5AFBF7FAC6D}" type="TxLink">
            <a:rPr lang="en-US" sz="1800" b="0" i="0" u="none" strike="noStrike">
              <a:solidFill>
                <a:schemeClr val="bg1"/>
              </a:solidFill>
              <a:latin typeface="Arial" panose="020B0604020202020204" pitchFamily="34" charset="0"/>
              <a:cs typeface="Arial" panose="020B0604020202020204" pitchFamily="34" charset="0"/>
            </a:rPr>
            <a:t>2514</a:t>
          </a:fld>
          <a:endParaRPr lang="en-US" sz="4400" b="0">
            <a:solidFill>
              <a:schemeClr val="bg1"/>
            </a:solidFill>
            <a:latin typeface="Arial" panose="020B0604020202020204" pitchFamily="34" charset="0"/>
            <a:cs typeface="Arial" panose="020B0604020202020204" pitchFamily="34" charset="0"/>
          </a:endParaRPr>
        </a:p>
      </xdr:txBody>
    </xdr:sp>
    <xdr:clientData/>
  </xdr:twoCellAnchor>
  <xdr:twoCellAnchor>
    <xdr:from>
      <xdr:col>9</xdr:col>
      <xdr:colOff>447675</xdr:colOff>
      <xdr:row>1</xdr:row>
      <xdr:rowOff>38100</xdr:rowOff>
    </xdr:from>
    <xdr:to>
      <xdr:col>13</xdr:col>
      <xdr:colOff>571500</xdr:colOff>
      <xdr:row>5</xdr:row>
      <xdr:rowOff>57150</xdr:rowOff>
    </xdr:to>
    <xdr:sp macro="" textlink="Pivot_tables!H3">
      <xdr:nvSpPr>
        <xdr:cNvPr id="11" name="TextBox 10">
          <a:extLst>
            <a:ext uri="{FF2B5EF4-FFF2-40B4-BE49-F238E27FC236}">
              <a16:creationId xmlns:a16="http://schemas.microsoft.com/office/drawing/2014/main" id="{312281A6-A118-49FE-9991-3EBB8E4562AE}"/>
            </a:ext>
          </a:extLst>
        </xdr:cNvPr>
        <xdr:cNvSpPr txBox="1"/>
      </xdr:nvSpPr>
      <xdr:spPr>
        <a:xfrm>
          <a:off x="6448425" y="1247775"/>
          <a:ext cx="2562225" cy="781050"/>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chemeClr val="bg1"/>
              </a:solidFill>
              <a:latin typeface="Arial" panose="020B0604020202020204" pitchFamily="34" charset="0"/>
              <a:cs typeface="Arial" panose="020B0604020202020204" pitchFamily="34" charset="0"/>
            </a:rPr>
            <a:t>AOV</a:t>
          </a:r>
        </a:p>
        <a:p>
          <a:pPr algn="ctr"/>
          <a:fld id="{1787D51C-9453-4B27-9E51-85BE8F962334}" type="TxLink">
            <a:rPr lang="en-US" sz="1800" b="0" i="0" u="none" strike="noStrike">
              <a:solidFill>
                <a:schemeClr val="bg1"/>
              </a:solidFill>
              <a:latin typeface="Arial" panose="020B0604020202020204" pitchFamily="34" charset="0"/>
              <a:cs typeface="Arial" panose="020B0604020202020204" pitchFamily="34" charset="0"/>
            </a:rPr>
            <a:t> $456.00 </a:t>
          </a:fld>
          <a:endParaRPr lang="en-US" sz="7200" b="0">
            <a:solidFill>
              <a:schemeClr val="bg1"/>
            </a:solidFill>
            <a:latin typeface="Arial" panose="020B0604020202020204" pitchFamily="34" charset="0"/>
            <a:cs typeface="Arial" panose="020B0604020202020204" pitchFamily="34" charset="0"/>
          </a:endParaRPr>
        </a:p>
      </xdr:txBody>
    </xdr:sp>
    <xdr:clientData/>
  </xdr:twoCellAnchor>
  <xdr:twoCellAnchor>
    <xdr:from>
      <xdr:col>14</xdr:col>
      <xdr:colOff>28575</xdr:colOff>
      <xdr:row>1</xdr:row>
      <xdr:rowOff>47625</xdr:rowOff>
    </xdr:from>
    <xdr:to>
      <xdr:col>17</xdr:col>
      <xdr:colOff>600075</xdr:colOff>
      <xdr:row>5</xdr:row>
      <xdr:rowOff>66675</xdr:rowOff>
    </xdr:to>
    <xdr:sp macro="" textlink="Pivot_tables!G3">
      <xdr:nvSpPr>
        <xdr:cNvPr id="12" name="TextBox 11">
          <a:extLst>
            <a:ext uri="{FF2B5EF4-FFF2-40B4-BE49-F238E27FC236}">
              <a16:creationId xmlns:a16="http://schemas.microsoft.com/office/drawing/2014/main" id="{79F3BA49-E277-4E93-BF3A-A50C74190079}"/>
            </a:ext>
          </a:extLst>
        </xdr:cNvPr>
        <xdr:cNvSpPr txBox="1"/>
      </xdr:nvSpPr>
      <xdr:spPr>
        <a:xfrm>
          <a:off x="9077325" y="1257300"/>
          <a:ext cx="2590800" cy="781050"/>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chemeClr val="bg1"/>
              </a:solidFill>
              <a:latin typeface="Arial" panose="020B0604020202020204" pitchFamily="34" charset="0"/>
              <a:cs typeface="Arial" panose="020B0604020202020204" pitchFamily="34" charset="0"/>
            </a:rPr>
            <a:t>Total Transactions</a:t>
          </a:r>
        </a:p>
        <a:p>
          <a:pPr algn="ctr"/>
          <a:fld id="{FE81D36D-3410-48CD-8DE0-96A48107A92D}" type="TxLink">
            <a:rPr lang="en-US" sz="1800" b="0" i="0" u="none" strike="noStrike">
              <a:solidFill>
                <a:schemeClr val="bg1"/>
              </a:solidFill>
              <a:latin typeface="Arial" panose="020B0604020202020204" pitchFamily="34" charset="0"/>
              <a:cs typeface="Arial" panose="020B0604020202020204" pitchFamily="34" charset="0"/>
            </a:rPr>
            <a:t>1000</a:t>
          </a:fld>
          <a:endParaRPr lang="en-US" sz="7200" b="0">
            <a:solidFill>
              <a:schemeClr val="bg1"/>
            </a:solidFill>
            <a:latin typeface="Arial" panose="020B0604020202020204" pitchFamily="34" charset="0"/>
            <a:cs typeface="Arial" panose="020B0604020202020204" pitchFamily="34" charset="0"/>
          </a:endParaRPr>
        </a:p>
      </xdr:txBody>
    </xdr:sp>
    <xdr:clientData/>
  </xdr:twoCellAnchor>
  <xdr:twoCellAnchor>
    <xdr:from>
      <xdr:col>10</xdr:col>
      <xdr:colOff>190500</xdr:colOff>
      <xdr:row>5</xdr:row>
      <xdr:rowOff>104774</xdr:rowOff>
    </xdr:from>
    <xdr:to>
      <xdr:col>17</xdr:col>
      <xdr:colOff>600074</xdr:colOff>
      <xdr:row>19</xdr:row>
      <xdr:rowOff>38099</xdr:rowOff>
    </xdr:to>
    <xdr:graphicFrame macro="">
      <xdr:nvGraphicFramePr>
        <xdr:cNvPr id="14" name="Chart 13">
          <a:extLst>
            <a:ext uri="{FF2B5EF4-FFF2-40B4-BE49-F238E27FC236}">
              <a16:creationId xmlns:a16="http://schemas.microsoft.com/office/drawing/2014/main" id="{0DA5D855-8D88-4295-99F5-3832A3128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28575</xdr:colOff>
      <xdr:row>26</xdr:row>
      <xdr:rowOff>123826</xdr:rowOff>
    </xdr:from>
    <xdr:to>
      <xdr:col>0</xdr:col>
      <xdr:colOff>1647825</xdr:colOff>
      <xdr:row>33</xdr:row>
      <xdr:rowOff>66676</xdr:rowOff>
    </xdr:to>
    <mc:AlternateContent xmlns:mc="http://schemas.openxmlformats.org/markup-compatibility/2006">
      <mc:Choice xmlns:a14="http://schemas.microsoft.com/office/drawing/2010/main" Requires="a14">
        <xdr:graphicFrame macro="">
          <xdr:nvGraphicFramePr>
            <xdr:cNvPr id="15" name="Product Category">
              <a:extLst>
                <a:ext uri="{FF2B5EF4-FFF2-40B4-BE49-F238E27FC236}">
                  <a16:creationId xmlns:a16="http://schemas.microsoft.com/office/drawing/2014/main" id="{3C18B292-87D5-D6A9-29FB-C61EDB951E5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28575" y="5667376"/>
              <a:ext cx="161925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g,Yu-ju" refreshedDate="46161.897621296295" backgroundQuery="1" createdVersion="8" refreshedVersion="8" minRefreshableVersion="3" recordCount="0" supportSubquery="1" supportAdvancedDrill="1" xr:uid="{441EE0A9-01C6-4A03-A5D3-520AF021F65E}">
  <cacheSource type="external" connectionId="5"/>
  <cacheFields count="5">
    <cacheField name="[retail_sales_dataset].[Gender].[Gender]" caption="Gender" numFmtId="0" hierarchy="14" level="1">
      <sharedItems count="2">
        <s v="Female"/>
        <s v="Male"/>
      </sharedItems>
    </cacheField>
    <cacheField name="[retail_sales_dataset].[Age Bracket].[Age Bracket]" caption="Age Bracket" numFmtId="0" hierarchy="20" level="1">
      <sharedItems count="3">
        <s v="Adolescent"/>
        <s v="Middle Age"/>
        <s v="Old"/>
      </sharedItems>
    </cacheField>
    <cacheField name="[Measures].[Sum of Total Amount]" caption="Sum of Total Amount" numFmtId="0" hierarchy="29" level="32767"/>
    <cacheField name="[Measures].[Count of Count Order]" caption="Count of Count Order" numFmtId="0" hierarchy="32" level="32767"/>
    <cacheField name="[retail_sales_dataset].[Date (Quarter)].[Date (Quarter)]" caption="Date (Quarter)" numFmtId="0" hierarchy="23" level="1">
      <sharedItems containsSemiMixedTypes="0" containsNonDate="0" containsString="0"/>
    </cacheField>
  </cacheFields>
  <cacheHierarchies count="3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Quarter)]" caption="Month (Quarter)" attribute="1" time="1" defaultMemberUniqueName="[Calendar].[Month (Quarter)].[All]" allUniqueName="[Calendar].[Month (Quarter)].[All]" dimensionUniqueName="[Calendar]" displayFolder="" count="0" memberValueDatatype="130" unbalanced="0"/>
    <cacheHierarchy uniqueName="[Calendar].[Year (Year)]" caption="Year (Year)" attribute="1" time="1" defaultMemberUniqueName="[Calendar].[Year (Year)].[All]" allUniqueName="[Calendar].[Year (Year)].[All]" dimensionUniqueName="[Calendar]" displayFolder="" count="0" memberValueDatatype="130" unbalanced="0"/>
    <cacheHierarchy uniqueName="[Calendar].[Year (Quarter)]" caption="Year (Quarter)" attribute="1" time="1" defaultMemberUniqueName="[Calendar].[Year (Quarter)].[All]" allUniqueName="[Calendar].[Year (Quarter)].[All]" dimensionUniqueName="[Calendar]" displayFolder="" count="0" memberValueDatatype="130" unbalanced="0"/>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0"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2" memberValueDatatype="130" unbalanced="0">
      <fieldsUsage count="2">
        <fieldUsage x="-1"/>
        <fieldUsage x="0"/>
      </fieldsUsage>
    </cacheHierarchy>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0" memberValueDatatype="130" unbalanced="0"/>
    <cacheHierarchy uniqueName="[retail_sales_dataset].[Quantity]" caption="Quantity" attribute="1" defaultMemberUniqueName="[retail_sales_dataset].[Quantity].[All]" allUniqueName="[retail_sales_dataset].[Quantity].[All]" dimensionUniqueName="[retail_sales_dataset]" displayFolder="" count="0"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5" unbalanced="0"/>
    <cacheHierarchy uniqueName="[retail_sales_dataset].[Age Bracket]" caption="Age Bracket" attribute="1" defaultMemberUniqueName="[retail_sales_dataset].[Age Bracket].[All]" allUniqueName="[retail_sales_dataset].[Age Bracket].[All]" dimensionUniqueName="[retail_sales_dataset]" displayFolder="" count="2" memberValueDatatype="130" unbalanced="0">
      <fieldsUsage count="2">
        <fieldUsage x="-1"/>
        <fieldUsage x="1"/>
      </fieldsUsage>
    </cacheHierarchy>
    <cacheHierarchy uniqueName="[retail_sales_dataset].[Count Order]" caption="Count Order" attribute="1" defaultMemberUniqueName="[retail_sales_dataset].[Count Order].[All]" allUniqueName="[retail_sales_dataset].[Count Order].[All]" dimensionUniqueName="[retail_sales_dataset]" displayFolder="" count="0"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0" memberValueDatatype="130" unbalanced="0"/>
    <cacheHierarchy uniqueName="[retail_sales_dataset].[Date (Quarter)]" caption="Date (Quarter)" attribute="1" defaultMemberUniqueName="[retail_sales_dataset].[Date (Quarter)].[All]" allUniqueName="[retail_sales_dataset].[Date (Quarter)].[All]" dimensionUniqueName="[retail_sales_dataset]" displayFolder="" count="2" memberValueDatatype="130" unbalanced="0">
      <fieldsUsage count="2">
        <fieldUsage x="-1"/>
        <fieldUsage x="4"/>
      </fieldsUsage>
    </cacheHierarchy>
    <cacheHierarchy uniqueName="[retail_sales_dataset].[Date (Month)]" caption="Date (Month)" attribute="1" defaultMemberUniqueName="[retail_sales_dataset].[Date (Month)].[All]" allUniqueName="[retail_sales_dataset].[Date (Month)].[All]" dimensionUniqueName="[retail_sales_dataset]" displayFolder="" count="0" memberValueDatatype="130" unbalanced="0"/>
    <cacheHierarchy uniqueName="[retail_sales_dataset].[Date (Month Index)]" caption="Date (Month Index)" attribute="1" defaultMemberUniqueName="[retail_sales_dataset].[Date (Month Index)].[All]" allUniqueName="[retail_sales_dataset].[Date (Month Index)].[All]" dimensionUniqueName="[retail_sales_dataset]" displayFolder="" count="0" memberValueDatatype="20" unbalanced="0" hidden="1"/>
    <cacheHierarchy uniqueName="[Measures].[__XL_Count retail_sales_dataset]" caption="__XL_Count retail_sales_dataset" measure="1" displayFolder="" measureGroup="retail_sale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Amount]" caption="Sum of Total Amount" measure="1" displayFolder="" measureGroup="retail_sales_dataset"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18"/>
        </ext>
      </extLst>
    </cacheHierarchy>
    <cacheHierarchy uniqueName="[Measures].[Average of Price per Unit]" caption="Average of Price per Unit" measure="1" displayFolder="" measureGroup="retail_sales_dataset" count="0" hidden="1">
      <extLst>
        <ext xmlns:x15="http://schemas.microsoft.com/office/spreadsheetml/2010/11/main" uri="{B97F6D7D-B522-45F9-BDA1-12C45D357490}">
          <x15:cacheHierarchy aggregatedColumn="18"/>
        </ext>
      </extLst>
    </cacheHierarchy>
    <cacheHierarchy uniqueName="[Measures].[Count of Count Order]" caption="Count of Count Order" measure="1" displayFolder="" measureGroup="retail_sales_dataset"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retail_sales_dataset" count="0" hidden="1">
      <extLst>
        <ext xmlns:x15="http://schemas.microsoft.com/office/spreadsheetml/2010/11/main" uri="{B97F6D7D-B522-45F9-BDA1-12C45D357490}">
          <x15:cacheHierarchy aggregatedColumn="17"/>
        </ext>
      </extLst>
    </cacheHierarchy>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13"/>
        </ext>
      </extLst>
    </cacheHierarchy>
  </cacheHierarchies>
  <kpis count="0"/>
  <dimensions count="3">
    <dimension name="Calendar" uniqueName="[Calendar]" caption="Calendar"/>
    <dimension measure="1" name="Measures" uniqueName="[Measures]" caption="Measures"/>
    <dimension name="retail_sales_dataset" uniqueName="[retail_sales_dataset]" caption="retail_sales_dataset"/>
  </dimensions>
  <measureGroups count="2">
    <measureGroup name="Calendar" caption="Calendar"/>
    <measureGroup name="retail_sales_dataset" caption="retail_sale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g,Yu-ju" refreshedDate="46161.897838541663" backgroundQuery="1" createdVersion="8" refreshedVersion="8" minRefreshableVersion="3" recordCount="0" supportSubquery="1" supportAdvancedDrill="1" xr:uid="{541585CC-B5AF-4D6F-91C3-0404304DE104}">
  <cacheSource type="external" connectionId="5"/>
  <cacheFields count="4">
    <cacheField name="[Calendar].[Month].[Month]" caption="Month" numFmtId="0" hierarchy="4" level="1">
      <sharedItems count="12">
        <s v="January"/>
        <s v="February"/>
        <s v="March"/>
        <s v="April"/>
        <s v="May"/>
        <s v="June"/>
        <s v="July"/>
        <s v="August"/>
        <s v="September"/>
        <s v="October"/>
        <s v="November"/>
        <s v="December"/>
      </sharedItems>
    </cacheField>
    <cacheField name="[Measures].[Sum of Total Amount]" caption="Sum of Total Amount" numFmtId="0" hierarchy="29" level="32767"/>
    <cacheField name="[retail_sales_dataset].[Date (Quarter)].[Date (Quarter)]" caption="Date (Quarter)" numFmtId="0" hierarchy="23" level="1">
      <sharedItems count="4">
        <s v="Qtr1"/>
        <s v="Qtr2"/>
        <s v="Qtr3"/>
        <s v="Qtr4"/>
      </sharedItems>
    </cacheField>
    <cacheField name="[retail_sales_dataset].[Date (Year)].[Date (Year)]" caption="Date (Year)" numFmtId="0" hierarchy="22" level="1">
      <sharedItems count="1">
        <s v="2023"/>
      </sharedItems>
    </cacheField>
  </cacheFields>
  <cacheHierarchies count="3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Month (Quarter)]" caption="Month (Quarter)" attribute="1" time="1" defaultMemberUniqueName="[Calendar].[Month (Quarter)].[All]" allUniqueName="[Calendar].[Month (Quarter)].[All]" dimensionUniqueName="[Calendar]" displayFolder="" count="2" memberValueDatatype="130" unbalanced="0"/>
    <cacheHierarchy uniqueName="[Calendar].[Year (Year)]" caption="Year (Year)" attribute="1" time="1" defaultMemberUniqueName="[Calendar].[Year (Year)].[All]" allUniqueName="[Calendar].[Year (Year)].[All]" dimensionUniqueName="[Calendar]" displayFolder="" count="2" memberValueDatatype="130" unbalanced="0"/>
    <cacheHierarchy uniqueName="[Calendar].[Year (Quarter)]" caption="Year (Quarter)" attribute="1" time="1" defaultMemberUniqueName="[Calendar].[Year (Quarter)].[All]" allUniqueName="[Calendar].[Year (Quarter)].[All]" dimensionUniqueName="[Calendar]" displayFolder="" count="2" memberValueDatatype="130" unbalanced="0"/>
    <cacheHierarchy uniqueName="[retail_sales_dataset].[Transaction ID]" caption="Transaction ID" attribute="1" defaultMemberUniqueName="[retail_sales_dataset].[Transaction ID].[All]" allUniqueName="[retail_sales_dataset].[Transaction ID].[All]" dimensionUniqueName="[retail_sales_dataset]" displayFolder="" count="2" memberValueDatatype="20" unbalanced="0"/>
    <cacheHierarchy uniqueName="[retail_sales_dataset].[Date]" caption="Date" attribute="1" time="1" defaultMemberUniqueName="[retail_sales_dataset].[Date].[All]" allUniqueName="[retail_sales_dataset].[Date].[All]" dimensionUniqueName="[retail_sales_dataset]" displayFolder="" count="2"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2" memberValueDatatype="130" unbalanced="0"/>
    <cacheHierarchy uniqueName="[retail_sales_dataset].[Gender]" caption="Gender" attribute="1" defaultMemberUniqueName="[retail_sales_dataset].[Gender].[All]" allUniqueName="[retail_sales_dataset].[Gender].[All]" dimensionUniqueName="[retail_sales_dataset]" displayFolder="" count="2" memberValueDatatype="130" unbalanced="0"/>
    <cacheHierarchy uniqueName="[retail_sales_dataset].[Age]" caption="Age" attribute="1" defaultMemberUniqueName="[retail_sales_dataset].[Age].[All]" allUniqueName="[retail_sales_dataset].[Age].[All]" dimensionUniqueName="[retail_sales_dataset]" displayFolder="" count="2"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2" memberValueDatatype="130" unbalanced="0"/>
    <cacheHierarchy uniqueName="[retail_sales_dataset].[Quantity]" caption="Quantity" attribute="1" defaultMemberUniqueName="[retail_sales_dataset].[Quantity].[All]" allUniqueName="[retail_sales_dataset].[Quantity].[All]" dimensionUniqueName="[retail_sales_dataset]" displayFolder="" count="2"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2"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2" memberValueDatatype="5" unbalanced="0"/>
    <cacheHierarchy uniqueName="[retail_sales_dataset].[Age Bracket]" caption="Age Bracket" attribute="1" defaultMemberUniqueName="[retail_sales_dataset].[Age Bracket].[All]" allUniqueName="[retail_sales_dataset].[Age Bracket].[All]" dimensionUniqueName="[retail_sales_dataset]" displayFolder="" count="2" memberValueDatatype="130" unbalanced="0"/>
    <cacheHierarchy uniqueName="[retail_sales_dataset].[Count Order]" caption="Count Order" attribute="1" defaultMemberUniqueName="[retail_sales_dataset].[Count Order].[All]" allUniqueName="[retail_sales_dataset].[Count Order].[All]" dimensionUniqueName="[retail_sales_dataset]" displayFolder="" count="2"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2" memberValueDatatype="130" unbalanced="0">
      <fieldsUsage count="2">
        <fieldUsage x="-1"/>
        <fieldUsage x="3"/>
      </fieldsUsage>
    </cacheHierarchy>
    <cacheHierarchy uniqueName="[retail_sales_dataset].[Date (Quarter)]" caption="Date (Quarter)" attribute="1" defaultMemberUniqueName="[retail_sales_dataset].[Date (Quarter)].[All]" allUniqueName="[retail_sales_dataset].[Date (Quarter)].[All]" dimensionUniqueName="[retail_sales_dataset]" displayFolder="" count="2" memberValueDatatype="130" unbalanced="0">
      <fieldsUsage count="2">
        <fieldUsage x="-1"/>
        <fieldUsage x="2"/>
      </fieldsUsage>
    </cacheHierarchy>
    <cacheHierarchy uniqueName="[retail_sales_dataset].[Date (Month)]" caption="Date (Month)" attribute="1" defaultMemberUniqueName="[retail_sales_dataset].[Date (Month)].[All]" allUniqueName="[retail_sales_dataset].[Date (Month)].[All]" dimensionUniqueName="[retail_sales_dataset]" displayFolder="" count="2" memberValueDatatype="130" unbalanced="0"/>
    <cacheHierarchy uniqueName="[retail_sales_dataset].[Date (Month Index)]" caption="Date (Month Index)" attribute="1" defaultMemberUniqueName="[retail_sales_dataset].[Date (Month Index)].[All]" allUniqueName="[retail_sales_dataset].[Date (Month Index)].[All]" dimensionUniqueName="[retail_sales_dataset]" displayFolder="" count="2" memberValueDatatype="20" unbalanced="0" hidden="1"/>
    <cacheHierarchy uniqueName="[Measures].[__XL_Count retail_sales_dataset]" caption="__XL_Count retail_sales_dataset" measure="1" displayFolder="" measureGroup="retail_sale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Amount]" caption="Sum of Total Amount" measure="1" displayFolder="" measureGroup="retail_sales_dataset"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18"/>
        </ext>
      </extLst>
    </cacheHierarchy>
    <cacheHierarchy uniqueName="[Measures].[Average of Price per Unit]" caption="Average of Price per Unit" measure="1" displayFolder="" measureGroup="retail_sales_dataset" count="0" hidden="1">
      <extLst>
        <ext xmlns:x15="http://schemas.microsoft.com/office/spreadsheetml/2010/11/main" uri="{B97F6D7D-B522-45F9-BDA1-12C45D357490}">
          <x15:cacheHierarchy aggregatedColumn="18"/>
        </ext>
      </extLst>
    </cacheHierarchy>
    <cacheHierarchy uniqueName="[Measures].[Count of Count Order]" caption="Count of Count Order" measure="1" displayFolder="" measureGroup="retail_sales_dataset"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retail_sales_dataset" count="0" hidden="1">
      <extLst>
        <ext xmlns:x15="http://schemas.microsoft.com/office/spreadsheetml/2010/11/main" uri="{B97F6D7D-B522-45F9-BDA1-12C45D357490}">
          <x15:cacheHierarchy aggregatedColumn="17"/>
        </ext>
      </extLst>
    </cacheHierarchy>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13"/>
        </ext>
      </extLst>
    </cacheHierarchy>
  </cacheHierarchies>
  <kpis count="0"/>
  <dimensions count="3">
    <dimension name="Calendar" uniqueName="[Calendar]" caption="Calendar"/>
    <dimension measure="1" name="Measures" uniqueName="[Measures]" caption="Measures"/>
    <dimension name="retail_sales_dataset" uniqueName="[retail_sales_dataset]" caption="retail_sales_dataset"/>
  </dimensions>
  <measureGroups count="2">
    <measureGroup name="Calendar" caption="Calendar"/>
    <measureGroup name="retail_sales_dataset" caption="retail_sale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g,Yu-ju" refreshedDate="46161.898112152776" backgroundQuery="1" createdVersion="8" refreshedVersion="8" minRefreshableVersion="3" recordCount="0" supportSubquery="1" supportAdvancedDrill="1" xr:uid="{816D2453-7C03-48E6-B2E7-6B05E35AC1A6}">
  <cacheSource type="external" connectionId="5"/>
  <cacheFields count="2">
    <cacheField name="[retail_sales_dataset].[Quantity].[Quantity]" caption="Quantity" numFmtId="0" hierarchy="17"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retail_sales_dataset].[Quantity].&amp;[1]"/>
            <x15:cachedUniqueName index="1" name="[retail_sales_dataset].[Quantity].&amp;[2]"/>
            <x15:cachedUniqueName index="2" name="[retail_sales_dataset].[Quantity].&amp;[3]"/>
            <x15:cachedUniqueName index="3" name="[retail_sales_dataset].[Quantity].&amp;[4]"/>
          </x15:cachedUniqueNames>
        </ext>
      </extLst>
    </cacheField>
    <cacheField name="[Measures].[Count of Count Order]" caption="Count of Count Order" numFmtId="0" hierarchy="32" level="32767"/>
  </cacheFields>
  <cacheHierarchies count="3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Quarter)]" caption="Month (Quarter)" attribute="1" time="1" defaultMemberUniqueName="[Calendar].[Month (Quarter)].[All]" allUniqueName="[Calendar].[Month (Quarter)].[All]" dimensionUniqueName="[Calendar]" displayFolder="" count="0" memberValueDatatype="130" unbalanced="0"/>
    <cacheHierarchy uniqueName="[Calendar].[Year (Year)]" caption="Year (Year)" attribute="1" time="1" defaultMemberUniqueName="[Calendar].[Year (Year)].[All]" allUniqueName="[Calendar].[Year (Year)].[All]" dimensionUniqueName="[Calendar]" displayFolder="" count="0" memberValueDatatype="130" unbalanced="0"/>
    <cacheHierarchy uniqueName="[Calendar].[Year (Quarter)]" caption="Year (Quarter)" attribute="1" time="1" defaultMemberUniqueName="[Calendar].[Year (Quarter)].[All]" allUniqueName="[Calendar].[Year (Quarter)].[All]" dimensionUniqueName="[Calendar]" displayFolder="" count="0" memberValueDatatype="130" unbalanced="0"/>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0"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0" memberValueDatatype="130" unbalanced="0"/>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0" memberValueDatatype="130" unbalanced="0"/>
    <cacheHierarchy uniqueName="[retail_sales_dataset].[Quantity]" caption="Quantity" attribute="1" defaultMemberUniqueName="[retail_sales_dataset].[Quantity].[All]" allUniqueName="[retail_sales_dataset].[Quantity].[All]" dimensionUniqueName="[retail_sales_dataset]" displayFolder="" count="2" memberValueDatatype="20" unbalanced="0">
      <fieldsUsage count="2">
        <fieldUsage x="-1"/>
        <fieldUsage x="0"/>
      </fieldsUsage>
    </cacheHierarchy>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5" unbalanced="0"/>
    <cacheHierarchy uniqueName="[retail_sales_dataset].[Age Bracket]" caption="Age Bracket" attribute="1" defaultMemberUniqueName="[retail_sales_dataset].[Age Bracket].[All]" allUniqueName="[retail_sales_dataset].[Age Bracket].[All]" dimensionUniqueName="[retail_sales_dataset]" displayFolder="" count="0" memberValueDatatype="130" unbalanced="0"/>
    <cacheHierarchy uniqueName="[retail_sales_dataset].[Count Order]" caption="Count Order" attribute="1" defaultMemberUniqueName="[retail_sales_dataset].[Count Order].[All]" allUniqueName="[retail_sales_dataset].[Count Order].[All]" dimensionUniqueName="[retail_sales_dataset]" displayFolder="" count="0"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0" memberValueDatatype="130" unbalanced="0"/>
    <cacheHierarchy uniqueName="[retail_sales_dataset].[Date (Quarter)]" caption="Date (Quarter)" attribute="1" defaultMemberUniqueName="[retail_sales_dataset].[Date (Quarter)].[All]" allUniqueName="[retail_sales_dataset].[Date (Quarter)].[All]" dimensionUniqueName="[retail_sales_dataset]" displayFolder="" count="0" memberValueDatatype="130" unbalanced="0"/>
    <cacheHierarchy uniqueName="[retail_sales_dataset].[Date (Month)]" caption="Date (Month)" attribute="1" defaultMemberUniqueName="[retail_sales_dataset].[Date (Month)].[All]" allUniqueName="[retail_sales_dataset].[Date (Month)].[All]" dimensionUniqueName="[retail_sales_dataset]" displayFolder="" count="0" memberValueDatatype="130" unbalanced="0"/>
    <cacheHierarchy uniqueName="[retail_sales_dataset].[Date (Month Index)]" caption="Date (Month Index)" attribute="1" defaultMemberUniqueName="[retail_sales_dataset].[Date (Month Index)].[All]" allUniqueName="[retail_sales_dataset].[Date (Month Index)].[All]" dimensionUniqueName="[retail_sales_dataset]" displayFolder="" count="0" memberValueDatatype="20" unbalanced="0" hidden="1"/>
    <cacheHierarchy uniqueName="[Measures].[__XL_Count retail_sales_dataset]" caption="__XL_Count retail_sales_dataset" measure="1" displayFolder="" measureGroup="retail_sale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Amount]" caption="Sum of Total Amount" measure="1" displayFolder="" measureGroup="retail_sales_dataset" count="0" hidden="1">
      <extLst>
        <ext xmlns:x15="http://schemas.microsoft.com/office/spreadsheetml/2010/11/main" uri="{B97F6D7D-B522-45F9-BDA1-12C45D357490}">
          <x15:cacheHierarchy aggregatedColumn="19"/>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18"/>
        </ext>
      </extLst>
    </cacheHierarchy>
    <cacheHierarchy uniqueName="[Measures].[Average of Price per Unit]" caption="Average of Price per Unit" measure="1" displayFolder="" measureGroup="retail_sales_dataset" count="0" hidden="1">
      <extLst>
        <ext xmlns:x15="http://schemas.microsoft.com/office/spreadsheetml/2010/11/main" uri="{B97F6D7D-B522-45F9-BDA1-12C45D357490}">
          <x15:cacheHierarchy aggregatedColumn="18"/>
        </ext>
      </extLst>
    </cacheHierarchy>
    <cacheHierarchy uniqueName="[Measures].[Count of Count Order]" caption="Count of Count Order" measure="1" displayFolder="" measureGroup="retail_sales_dataset"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retail_sales_dataset" count="0" hidden="1">
      <extLst>
        <ext xmlns:x15="http://schemas.microsoft.com/office/spreadsheetml/2010/11/main" uri="{B97F6D7D-B522-45F9-BDA1-12C45D357490}">
          <x15:cacheHierarchy aggregatedColumn="17"/>
        </ext>
      </extLst>
    </cacheHierarchy>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13"/>
        </ext>
      </extLst>
    </cacheHierarchy>
  </cacheHierarchies>
  <kpis count="0"/>
  <dimensions count="3">
    <dimension name="Calendar" uniqueName="[Calendar]" caption="Calendar"/>
    <dimension measure="1" name="Measures" uniqueName="[Measures]" caption="Measures"/>
    <dimension name="retail_sales_dataset" uniqueName="[retail_sales_dataset]" caption="retail_sales_dataset"/>
  </dimensions>
  <measureGroups count="2">
    <measureGroup name="Calendar" caption="Calendar"/>
    <measureGroup name="retail_sales_dataset" caption="retail_sale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g,Yu-ju" refreshedDate="46161.901707870369" backgroundQuery="1" createdVersion="8" refreshedVersion="8" minRefreshableVersion="3" recordCount="0" supportSubquery="1" supportAdvancedDrill="1" xr:uid="{B111A923-4AC6-46E1-AF2B-A037615843BB}">
  <cacheSource type="external" connectionId="5"/>
  <cacheFields count="4">
    <cacheField name="[retail_sales_dataset].[Product Category].[Product Category]" caption="Product Category" numFmtId="0" hierarchy="16" level="1">
      <sharedItems count="3">
        <s v="Beauty"/>
        <s v="Clothing"/>
        <s v="Electronics"/>
      </sharedItems>
    </cacheField>
    <cacheField name="[Measures].[Sum of Total Amount]" caption="Sum of Total Amount" numFmtId="0" hierarchy="29" level="32767"/>
    <cacheField name="[Measures].[Sum of Quantity]" caption="Sum of Quantity" numFmtId="0" hierarchy="33" level="32767"/>
    <cacheField name="[Measures].[Average of Price per Unit]" caption="Average of Price per Unit" numFmtId="0" hierarchy="31" level="32767"/>
  </cacheFields>
  <cacheHierarchies count="3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Month (Quarter)]" caption="Month (Quarter)" attribute="1" time="1" defaultMemberUniqueName="[Calendar].[Month (Quarter)].[All]" allUniqueName="[Calendar].[Month (Quarter)].[All]" dimensionUniqueName="[Calendar]" displayFolder="" count="2" memberValueDatatype="130" unbalanced="0"/>
    <cacheHierarchy uniqueName="[Calendar].[Year (Year)]" caption="Year (Year)" attribute="1" time="1" defaultMemberUniqueName="[Calendar].[Year (Year)].[All]" allUniqueName="[Calendar].[Year (Year)].[All]" dimensionUniqueName="[Calendar]" displayFolder="" count="2" memberValueDatatype="130" unbalanced="0"/>
    <cacheHierarchy uniqueName="[Calendar].[Year (Quarter)]" caption="Year (Quarter)" attribute="1" time="1" defaultMemberUniqueName="[Calendar].[Year (Quarter)].[All]" allUniqueName="[Calendar].[Year (Quarter)].[All]" dimensionUniqueName="[Calendar]" displayFolder="" count="2" memberValueDatatype="130" unbalanced="0"/>
    <cacheHierarchy uniqueName="[retail_sales_dataset].[Transaction ID]" caption="Transaction ID" attribute="1" defaultMemberUniqueName="[retail_sales_dataset].[Transaction ID].[All]" allUniqueName="[retail_sales_dataset].[Transaction ID].[All]" dimensionUniqueName="[retail_sales_dataset]" displayFolder="" count="2" memberValueDatatype="20" unbalanced="0"/>
    <cacheHierarchy uniqueName="[retail_sales_dataset].[Date]" caption="Date" attribute="1" time="1" defaultMemberUniqueName="[retail_sales_dataset].[Date].[All]" allUniqueName="[retail_sales_dataset].[Date].[All]" dimensionUniqueName="[retail_sales_dataset]" displayFolder="" count="2"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2" memberValueDatatype="130" unbalanced="0"/>
    <cacheHierarchy uniqueName="[retail_sales_dataset].[Gender]" caption="Gender" attribute="1" defaultMemberUniqueName="[retail_sales_dataset].[Gender].[All]" allUniqueName="[retail_sales_dataset].[Gender].[All]" dimensionUniqueName="[retail_sales_dataset]" displayFolder="" count="2" memberValueDatatype="130" unbalanced="0"/>
    <cacheHierarchy uniqueName="[retail_sales_dataset].[Age]" caption="Age" attribute="1" defaultMemberUniqueName="[retail_sales_dataset].[Age].[All]" allUniqueName="[retail_sales_dataset].[Age].[All]" dimensionUniqueName="[retail_sales_dataset]" displayFolder="" count="2"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2" memberValueDatatype="130" unbalanced="0">
      <fieldsUsage count="2">
        <fieldUsage x="-1"/>
        <fieldUsage x="0"/>
      </fieldsUsage>
    </cacheHierarchy>
    <cacheHierarchy uniqueName="[retail_sales_dataset].[Quantity]" caption="Quantity" attribute="1" defaultMemberUniqueName="[retail_sales_dataset].[Quantity].[All]" allUniqueName="[retail_sales_dataset].[Quantity].[All]" dimensionUniqueName="[retail_sales_dataset]" displayFolder="" count="2"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2"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2" memberValueDatatype="5" unbalanced="0"/>
    <cacheHierarchy uniqueName="[retail_sales_dataset].[Age Bracket]" caption="Age Bracket" attribute="1" defaultMemberUniqueName="[retail_sales_dataset].[Age Bracket].[All]" allUniqueName="[retail_sales_dataset].[Age Bracket].[All]" dimensionUniqueName="[retail_sales_dataset]" displayFolder="" count="2" memberValueDatatype="130" unbalanced="0"/>
    <cacheHierarchy uniqueName="[retail_sales_dataset].[Count Order]" caption="Count Order" attribute="1" defaultMemberUniqueName="[retail_sales_dataset].[Count Order].[All]" allUniqueName="[retail_sales_dataset].[Count Order].[All]" dimensionUniqueName="[retail_sales_dataset]" displayFolder="" count="2"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2" memberValueDatatype="130" unbalanced="0"/>
    <cacheHierarchy uniqueName="[retail_sales_dataset].[Date (Quarter)]" caption="Date (Quarter)" attribute="1" defaultMemberUniqueName="[retail_sales_dataset].[Date (Quarter)].[All]" allUniqueName="[retail_sales_dataset].[Date (Quarter)].[All]" dimensionUniqueName="[retail_sales_dataset]" displayFolder="" count="2" memberValueDatatype="130" unbalanced="0"/>
    <cacheHierarchy uniqueName="[retail_sales_dataset].[Date (Month)]" caption="Date (Month)" attribute="1" defaultMemberUniqueName="[retail_sales_dataset].[Date (Month)].[All]" allUniqueName="[retail_sales_dataset].[Date (Month)].[All]" dimensionUniqueName="[retail_sales_dataset]" displayFolder="" count="2" memberValueDatatype="130" unbalanced="0"/>
    <cacheHierarchy uniqueName="[retail_sales_dataset].[Date (Month Index)]" caption="Date (Month Index)" attribute="1" defaultMemberUniqueName="[retail_sales_dataset].[Date (Month Index)].[All]" allUniqueName="[retail_sales_dataset].[Date (Month Index)].[All]" dimensionUniqueName="[retail_sales_dataset]" displayFolder="" count="2" memberValueDatatype="20" unbalanced="0" hidden="1"/>
    <cacheHierarchy uniqueName="[Measures].[__XL_Count retail_sales_dataset]" caption="__XL_Count retail_sales_dataset" measure="1" displayFolder="" measureGroup="retail_sale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Amount]" caption="Sum of Total Amount" measure="1" displayFolder="" measureGroup="retail_sales_dataset"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18"/>
        </ext>
      </extLst>
    </cacheHierarchy>
    <cacheHierarchy uniqueName="[Measures].[Average of Price per Unit]" caption="Average of Price per Unit" measure="1" displayFolder="" measureGroup="retail_sales_dataset" count="0" oneField="1" hidden="1">
      <fieldsUsage count="1">
        <fieldUsage x="3"/>
      </fieldsUsage>
      <extLst>
        <ext xmlns:x15="http://schemas.microsoft.com/office/spreadsheetml/2010/11/main" uri="{B97F6D7D-B522-45F9-BDA1-12C45D357490}">
          <x15:cacheHierarchy aggregatedColumn="18"/>
        </ext>
      </extLst>
    </cacheHierarchy>
    <cacheHierarchy uniqueName="[Measures].[Count of Count Order]" caption="Count of Count Order" measure="1" displayFolder="" measureGroup="retail_sales_dataset"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retail_sales_dataset"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13"/>
        </ext>
      </extLst>
    </cacheHierarchy>
  </cacheHierarchies>
  <kpis count="0"/>
  <dimensions count="3">
    <dimension name="Calendar" uniqueName="[Calendar]" caption="Calendar"/>
    <dimension measure="1" name="Measures" uniqueName="[Measures]" caption="Measures"/>
    <dimension name="retail_sales_dataset" uniqueName="[retail_sales_dataset]" caption="retail_sales_dataset"/>
  </dimensions>
  <measureGroups count="2">
    <measureGroup name="Calendar" caption="Calendar"/>
    <measureGroup name="retail_sales_dataset" caption="retail_sale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g,Yu-ju" refreshedDate="46161.885022569448" backgroundQuery="1" createdVersion="3" refreshedVersion="8" minRefreshableVersion="3" recordCount="0" supportSubquery="1" supportAdvancedDrill="1" xr:uid="{22E9F990-F08B-4AEB-B56A-5C94187DEA43}">
  <cacheSource type="external" connectionId="5">
    <extLst>
      <ext xmlns:x14="http://schemas.microsoft.com/office/spreadsheetml/2009/9/main" uri="{F057638F-6D5F-4e77-A914-E7F072B9BCA8}">
        <x14:sourceConnection name="ThisWorkbookDataModel"/>
      </ext>
    </extLst>
  </cacheSource>
  <cacheFields count="0"/>
  <cacheHierarchies count="3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Quarter)]" caption="Month (Quarter)" attribute="1" time="1" defaultMemberUniqueName="[Calendar].[Month (Quarter)].[All]" allUniqueName="[Calendar].[Month (Quarter)].[All]" dimensionUniqueName="[Calendar]" displayFolder="" count="0" memberValueDatatype="130" unbalanced="0"/>
    <cacheHierarchy uniqueName="[Calendar].[Year (Year)]" caption="Year (Year)" attribute="1" time="1" defaultMemberUniqueName="[Calendar].[Year (Year)].[All]" allUniqueName="[Calendar].[Year (Year)].[All]" dimensionUniqueName="[Calendar]" displayFolder="" count="0" memberValueDatatype="130" unbalanced="0"/>
    <cacheHierarchy uniqueName="[Calendar].[Year (Quarter)]" caption="Year (Quarter)" attribute="1" time="1" defaultMemberUniqueName="[Calendar].[Year (Quarter)].[All]" allUniqueName="[Calendar].[Year (Quarter)].[All]" dimensionUniqueName="[Calendar]" displayFolder="" count="0" memberValueDatatype="130" unbalanced="0"/>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0"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2" memberValueDatatype="130" unbalanced="0"/>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0" memberValueDatatype="130" unbalanced="0"/>
    <cacheHierarchy uniqueName="[retail_sales_dataset].[Quantity]" caption="Quantity" attribute="1" defaultMemberUniqueName="[retail_sales_dataset].[Quantity].[All]" allUniqueName="[retail_sales_dataset].[Quantity].[All]" dimensionUniqueName="[retail_sales_dataset]" displayFolder="" count="0"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5" unbalanced="0"/>
    <cacheHierarchy uniqueName="[retail_sales_dataset].[Age Bracket]" caption="Age Bracket" attribute="1" defaultMemberUniqueName="[retail_sales_dataset].[Age Bracket].[All]" allUniqueName="[retail_sales_dataset].[Age Bracket].[All]" dimensionUniqueName="[retail_sales_dataset]" displayFolder="" count="2" memberValueDatatype="130" unbalanced="0"/>
    <cacheHierarchy uniqueName="[retail_sales_dataset].[Count Order]" caption="Count Order" attribute="1" defaultMemberUniqueName="[retail_sales_dataset].[Count Order].[All]" allUniqueName="[retail_sales_dataset].[Count Order].[All]" dimensionUniqueName="[retail_sales_dataset]" displayFolder="" count="0"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0" memberValueDatatype="130" unbalanced="0"/>
    <cacheHierarchy uniqueName="[retail_sales_dataset].[Date (Quarter)]" caption="Date (Quarter)" attribute="1" defaultMemberUniqueName="[retail_sales_dataset].[Date (Quarter)].[All]" allUniqueName="[retail_sales_dataset].[Date (Quarter)].[All]" dimensionUniqueName="[retail_sales_dataset]" displayFolder="" count="2" memberValueDatatype="130" unbalanced="0"/>
    <cacheHierarchy uniqueName="[retail_sales_dataset].[Date (Month)]" caption="Date (Month)" attribute="1" defaultMemberUniqueName="[retail_sales_dataset].[Date (Month)].[All]" allUniqueName="[retail_sales_dataset].[Date (Month)].[All]" dimensionUniqueName="[retail_sales_dataset]" displayFolder="" count="0" memberValueDatatype="130" unbalanced="0"/>
    <cacheHierarchy uniqueName="[retail_sales_dataset].[Date (Month Index)]" caption="Date (Month Index)" attribute="1" defaultMemberUniqueName="[retail_sales_dataset].[Date (Month Index)].[All]" allUniqueName="[retail_sales_dataset].[Date (Month Index)].[All]" dimensionUniqueName="[retail_sales_dataset]" displayFolder="" count="0" memberValueDatatype="20" unbalanced="0" hidden="1"/>
    <cacheHierarchy uniqueName="[Measures].[__XL_Count retail_sales_dataset]" caption="__XL_Count retail_sales_dataset" measure="1" displayFolder="" measureGroup="retail_sale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Amount]" caption="Sum of Total Amount" measure="1" displayFolder="" measureGroup="retail_sales_dataset" count="0" hidden="1">
      <extLst>
        <ext xmlns:x15="http://schemas.microsoft.com/office/spreadsheetml/2010/11/main" uri="{B97F6D7D-B522-45F9-BDA1-12C45D357490}">
          <x15:cacheHierarchy aggregatedColumn="19"/>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18"/>
        </ext>
      </extLst>
    </cacheHierarchy>
    <cacheHierarchy uniqueName="[Measures].[Average of Price per Unit]" caption="Average of Price per Unit" measure="1" displayFolder="" measureGroup="retail_sales_dataset" count="0" hidden="1">
      <extLst>
        <ext xmlns:x15="http://schemas.microsoft.com/office/spreadsheetml/2010/11/main" uri="{B97F6D7D-B522-45F9-BDA1-12C45D357490}">
          <x15:cacheHierarchy aggregatedColumn="18"/>
        </ext>
      </extLst>
    </cacheHierarchy>
    <cacheHierarchy uniqueName="[Measures].[Count of Count Order]" caption="Count of Count Order" measure="1" displayFolder="" measureGroup="retail_sales_dataset"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retail_sales_dataset" count="0" hidden="1">
      <extLst>
        <ext xmlns:x15="http://schemas.microsoft.com/office/spreadsheetml/2010/11/main" uri="{B97F6D7D-B522-45F9-BDA1-12C45D357490}">
          <x15:cacheHierarchy aggregatedColumn="17"/>
        </ext>
      </extLst>
    </cacheHierarchy>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465880610"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g,Yu-ju" refreshedDate="46161.901706018522" backgroundQuery="1" createdVersion="3" refreshedVersion="8" minRefreshableVersion="3" recordCount="0" supportSubquery="1" supportAdvancedDrill="1" xr:uid="{3F3CCE60-A2F4-4445-BD6D-1F600533A9ED}">
  <cacheSource type="external" connectionId="5">
    <extLst>
      <ext xmlns:x14="http://schemas.microsoft.com/office/spreadsheetml/2009/9/main" uri="{F057638F-6D5F-4e77-A914-E7F072B9BCA8}">
        <x14:sourceConnection name="ThisWorkbookDataModel"/>
      </ext>
    </extLst>
  </cacheSource>
  <cacheFields count="0"/>
  <cacheHierarchies count="3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Quarter)]" caption="Month (Quarter)" attribute="1" time="1" defaultMemberUniqueName="[Calendar].[Month (Quarter)].[All]" allUniqueName="[Calendar].[Month (Quarter)].[All]" dimensionUniqueName="[Calendar]" displayFolder="" count="0" memberValueDatatype="130" unbalanced="0"/>
    <cacheHierarchy uniqueName="[Calendar].[Year (Year)]" caption="Year (Year)" attribute="1" time="1" defaultMemberUniqueName="[Calendar].[Year (Year)].[All]" allUniqueName="[Calendar].[Year (Year)].[All]" dimensionUniqueName="[Calendar]" displayFolder="" count="0" memberValueDatatype="130" unbalanced="0"/>
    <cacheHierarchy uniqueName="[Calendar].[Year (Quarter)]" caption="Year (Quarter)" attribute="1" time="1" defaultMemberUniqueName="[Calendar].[Year (Quarter)].[All]" allUniqueName="[Calendar].[Year (Quarter)].[All]" dimensionUniqueName="[Calendar]" displayFolder="" count="0" memberValueDatatype="130" unbalanced="0"/>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0"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0" memberValueDatatype="130" unbalanced="0"/>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2" memberValueDatatype="130" unbalanced="0"/>
    <cacheHierarchy uniqueName="[retail_sales_dataset].[Quantity]" caption="Quantity" attribute="1" defaultMemberUniqueName="[retail_sales_dataset].[Quantity].[All]" allUniqueName="[retail_sales_dataset].[Quantity].[All]" dimensionUniqueName="[retail_sales_dataset]" displayFolder="" count="0"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5" unbalanced="0"/>
    <cacheHierarchy uniqueName="[retail_sales_dataset].[Age Bracket]" caption="Age Bracket" attribute="1" defaultMemberUniqueName="[retail_sales_dataset].[Age Bracket].[All]" allUniqueName="[retail_sales_dataset].[Age Bracket].[All]" dimensionUniqueName="[retail_sales_dataset]" displayFolder="" count="0" memberValueDatatype="130" unbalanced="0"/>
    <cacheHierarchy uniqueName="[retail_sales_dataset].[Count Order]" caption="Count Order" attribute="1" defaultMemberUniqueName="[retail_sales_dataset].[Count Order].[All]" allUniqueName="[retail_sales_dataset].[Count Order].[All]" dimensionUniqueName="[retail_sales_dataset]" displayFolder="" count="0"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0" memberValueDatatype="130" unbalanced="0"/>
    <cacheHierarchy uniqueName="[retail_sales_dataset].[Date (Quarter)]" caption="Date (Quarter)" attribute="1" defaultMemberUniqueName="[retail_sales_dataset].[Date (Quarter)].[All]" allUniqueName="[retail_sales_dataset].[Date (Quarter)].[All]" dimensionUniqueName="[retail_sales_dataset]" displayFolder="" count="0" memberValueDatatype="130" unbalanced="0"/>
    <cacheHierarchy uniqueName="[retail_sales_dataset].[Date (Month)]" caption="Date (Month)" attribute="1" defaultMemberUniqueName="[retail_sales_dataset].[Date (Month)].[All]" allUniqueName="[retail_sales_dataset].[Date (Month)].[All]" dimensionUniqueName="[retail_sales_dataset]" displayFolder="" count="0" memberValueDatatype="130" unbalanced="0"/>
    <cacheHierarchy uniqueName="[retail_sales_dataset].[Date (Month Index)]" caption="Date (Month Index)" attribute="1" defaultMemberUniqueName="[retail_sales_dataset].[Date (Month Index)].[All]" allUniqueName="[retail_sales_dataset].[Date (Month Index)].[All]" dimensionUniqueName="[retail_sales_dataset]" displayFolder="" count="0" memberValueDatatype="20" unbalanced="0" hidden="1"/>
    <cacheHierarchy uniqueName="[Measures].[__XL_Count retail_sales_dataset]" caption="__XL_Count retail_sales_dataset" measure="1" displayFolder="" measureGroup="retail_sale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Amount]" caption="Sum of Total Amount" measure="1" displayFolder="" measureGroup="retail_sales_dataset" count="0" hidden="1">
      <extLst>
        <ext xmlns:x15="http://schemas.microsoft.com/office/spreadsheetml/2010/11/main" uri="{B97F6D7D-B522-45F9-BDA1-12C45D357490}">
          <x15:cacheHierarchy aggregatedColumn="19"/>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18"/>
        </ext>
      </extLst>
    </cacheHierarchy>
    <cacheHierarchy uniqueName="[Measures].[Average of Price per Unit]" caption="Average of Price per Unit" measure="1" displayFolder="" measureGroup="retail_sales_dataset" count="0" hidden="1">
      <extLst>
        <ext xmlns:x15="http://schemas.microsoft.com/office/spreadsheetml/2010/11/main" uri="{B97F6D7D-B522-45F9-BDA1-12C45D357490}">
          <x15:cacheHierarchy aggregatedColumn="18"/>
        </ext>
      </extLst>
    </cacheHierarchy>
    <cacheHierarchy uniqueName="[Measures].[Count of Count Order]" caption="Count of Count Order" measure="1" displayFolder="" measureGroup="retail_sales_dataset"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retail_sales_dataset" count="0" hidden="1">
      <extLst>
        <ext xmlns:x15="http://schemas.microsoft.com/office/spreadsheetml/2010/11/main" uri="{B97F6D7D-B522-45F9-BDA1-12C45D357490}">
          <x15:cacheHierarchy aggregatedColumn="17"/>
        </ext>
      </extLst>
    </cacheHierarchy>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3081760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A9157D-9332-4BDC-9AF7-DBD9998CE033}" name="PivotTable5" cacheId="627" applyNumberFormats="0" applyBorderFormats="0" applyFontFormats="0" applyPatternFormats="0" applyAlignmentFormats="0" applyWidthHeightFormats="1" dataCaption="Values" tag="232171d1-6e78-4264-bbd6-5050ca70b80f" updatedVersion="8" minRefreshableVersion="3" useAutoFormatting="1" itemPrintTitles="1" createdVersion="8" indent="0" outline="1" outlineData="1" multipleFieldFilters="0" chartFormat="4">
  <location ref="E24:F2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Count Order"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47B294-BFD9-4B5F-AFD2-93F9C0CC9C07}" name="PivotTable3" cacheId="631" applyNumberFormats="0" applyBorderFormats="0" applyFontFormats="0" applyPatternFormats="0" applyAlignmentFormats="0" applyWidthHeightFormats="1" dataCaption="Values" tag="87d3b475-50ca-4a2b-9cf6-decf7b1011ad" updatedVersion="8" minRefreshableVersion="3" useAutoFormatting="1" subtotalHiddenItems="1" itemPrintTitles="1" createdVersion="8" indent="0" outline="1" outlineData="1" multipleFieldFilters="0" chartFormat="6">
  <location ref="E16:H20" firstHeaderRow="0"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4">
    <i>
      <x v="2"/>
    </i>
    <i>
      <x v="1"/>
    </i>
    <i>
      <x/>
    </i>
    <i t="grand">
      <x/>
    </i>
  </rowItems>
  <colFields count="1">
    <field x="-2"/>
  </colFields>
  <colItems count="3">
    <i>
      <x/>
    </i>
    <i i="1">
      <x v="1"/>
    </i>
    <i i="2">
      <x v="2"/>
    </i>
  </colItems>
  <dataFields count="3">
    <dataField name="Sum of Total Amount" fld="1" baseField="0" baseItem="0" numFmtId="170"/>
    <dataField name="Sum of Quantity" fld="2" baseField="0" baseItem="0"/>
    <dataField name="Average of Price per Unit" fld="3" subtotal="average" baseField="0" baseItem="0"/>
  </dataFields>
  <formats count="1">
    <format dxfId="2">
      <pivotArea outline="0" collapsedLevelsAreSubtotals="1" fieldPosition="0">
        <references count="1">
          <reference field="4294967294" count="1" selected="0">
            <x v="0"/>
          </reference>
        </references>
      </pivotArea>
    </format>
  </formats>
  <chartFormats count="12">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0" count="1" selected="0">
            <x v="2"/>
          </reference>
        </references>
      </pivotArea>
    </chartFormat>
    <chartFormat chart="3" format="17">
      <pivotArea type="data" outline="0" fieldPosition="0">
        <references count="2">
          <reference field="4294967294" count="1" selected="0">
            <x v="0"/>
          </reference>
          <reference field="0" count="1" selected="0">
            <x v="1"/>
          </reference>
        </references>
      </pivotArea>
    </chartFormat>
    <chartFormat chart="3" format="18">
      <pivotArea type="data" outline="0" fieldPosition="0">
        <references count="2">
          <reference field="4294967294" count="1" selected="0">
            <x v="0"/>
          </reference>
          <reference field="0" count="1" selected="0">
            <x v="0"/>
          </reference>
        </references>
      </pivotArea>
    </chartFormat>
    <chartFormat chart="3" format="19" series="1">
      <pivotArea type="data" outline="0" fieldPosition="0">
        <references count="1">
          <reference field="4294967294" count="1" selected="0">
            <x v="1"/>
          </reference>
        </references>
      </pivotArea>
    </chartFormat>
    <chartFormat chart="3" format="20">
      <pivotArea type="data" outline="0" fieldPosition="0">
        <references count="2">
          <reference field="4294967294" count="1" selected="0">
            <x v="1"/>
          </reference>
          <reference field="0" count="1" selected="0">
            <x v="2"/>
          </reference>
        </references>
      </pivotArea>
    </chartFormat>
    <chartFormat chart="3" format="21">
      <pivotArea type="data" outline="0" fieldPosition="0">
        <references count="2">
          <reference field="4294967294" count="1" selected="0">
            <x v="1"/>
          </reference>
          <reference field="0" count="1" selected="0">
            <x v="1"/>
          </reference>
        </references>
      </pivotArea>
    </chartFormat>
    <chartFormat chart="3" format="22">
      <pivotArea type="data" outline="0" fieldPosition="0">
        <references count="2">
          <reference field="4294967294" count="1" selected="0">
            <x v="1"/>
          </reference>
          <reference field="0" count="1" selected="0">
            <x v="0"/>
          </reference>
        </references>
      </pivotArea>
    </chartFormat>
    <chartFormat chart="3" format="23" series="1">
      <pivotArea type="data" outline="0" fieldPosition="0">
        <references count="1">
          <reference field="4294967294" count="1" selected="0">
            <x v="2"/>
          </reference>
        </references>
      </pivotArea>
    </chartFormat>
    <chartFormat chart="3" format="24">
      <pivotArea type="data" outline="0" fieldPosition="0">
        <references count="2">
          <reference field="4294967294" count="1" selected="0">
            <x v="2"/>
          </reference>
          <reference field="0" count="1" selected="0">
            <x v="2"/>
          </reference>
        </references>
      </pivotArea>
    </chartFormat>
    <chartFormat chart="3" format="25">
      <pivotArea type="data" outline="0" fieldPosition="0">
        <references count="2">
          <reference field="4294967294" count="1" selected="0">
            <x v="2"/>
          </reference>
          <reference field="0" count="1" selected="0">
            <x v="1"/>
          </reference>
        </references>
      </pivotArea>
    </chartFormat>
    <chartFormat chart="3" format="26">
      <pivotArea type="data" outline="0" fieldPosition="0">
        <references count="2">
          <reference field="4294967294" count="1" selected="0">
            <x v="2"/>
          </reference>
          <reference field="0" count="1" selected="0">
            <x v="0"/>
          </reference>
        </references>
      </pivotArea>
    </chartFormat>
  </chartFormats>
  <pivotHierarchies count="3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ice per Un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4B79E1-15C2-44B9-9C4D-E43247C24542}" name="PivotTable2" cacheId="619" applyNumberFormats="0" applyBorderFormats="0" applyFontFormats="0" applyPatternFormats="0" applyAlignmentFormats="0" applyWidthHeightFormats="1" dataCaption="Values" tag="329d578a-d6b6-4f39-bc39-9c0d3e034737" updatedVersion="8" minRefreshableVersion="3" useAutoFormatting="1" subtotalHiddenItems="1" itemPrintTitles="1" createdVersion="8" indent="0" outline="1" outlineData="1" multipleFieldFilters="0" chartFormat="5">
  <location ref="A16:B22"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1">
        <item s="1" x="0"/>
      </items>
    </pivotField>
  </pivotFields>
  <rowFields count="3">
    <field x="3"/>
    <field x="2"/>
    <field x="0"/>
  </rowFields>
  <rowItems count="6">
    <i>
      <x/>
    </i>
    <i r="1">
      <x/>
    </i>
    <i r="1">
      <x v="1"/>
    </i>
    <i r="1">
      <x v="2"/>
    </i>
    <i r="1">
      <x v="3"/>
    </i>
    <i t="grand">
      <x/>
    </i>
  </rowItems>
  <colItems count="1">
    <i/>
  </colItems>
  <dataFields count="1">
    <dataField name="Sum of Total Amount"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3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2"/>
    <rowHierarchyUsage hierarchyUsage="23"/>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datase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C45FB1-49A3-4B15-AA4B-12D06D86E1E3}" name="PivotTable1" cacheId="613" applyNumberFormats="0" applyBorderFormats="0" applyFontFormats="0" applyPatternFormats="0" applyAlignmentFormats="0" applyWidthHeightFormats="1" dataCaption="Values" tag="27ff8b02-9938-441c-821d-5dbaa51c6377" updatedVersion="8" minRefreshableVersion="3" useAutoFormatting="1" subtotalHiddenItems="1" itemPrintTitles="1" createdVersion="8" indent="0" outline="1" outlineData="1" multipleFieldFilters="0" chartFormat="7">
  <location ref="A2:C12" firstHeaderRow="0" firstDataRow="1" firstDataCol="1"/>
  <pivotFields count="5">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1"/>
    <field x="0"/>
  </rowFields>
  <rowItems count="10">
    <i>
      <x/>
    </i>
    <i r="1">
      <x/>
    </i>
    <i r="1">
      <x v="1"/>
    </i>
    <i>
      <x v="1"/>
    </i>
    <i r="1">
      <x/>
    </i>
    <i r="1">
      <x v="1"/>
    </i>
    <i>
      <x v="2"/>
    </i>
    <i r="1">
      <x/>
    </i>
    <i r="1">
      <x v="1"/>
    </i>
    <i t="grand">
      <x/>
    </i>
  </rowItems>
  <colFields count="1">
    <field x="-2"/>
  </colFields>
  <colItems count="2">
    <i>
      <x/>
    </i>
    <i i="1">
      <x v="1"/>
    </i>
  </colItems>
  <dataFields count="2">
    <dataField name="Sum of Total Amount" fld="2" baseField="0" baseItem="0" numFmtId="170"/>
    <dataField name="Count of Count Order" fld="3" subtotal="count" baseField="0" baseItem="0"/>
  </dataFields>
  <formats count="7">
    <format dxfId="11">
      <pivotArea outline="0" collapsedLevelsAreSubtotals="1" fieldPosition="0"/>
    </format>
    <format dxfId="12">
      <pivotArea collapsedLevelsAreSubtotals="1" fieldPosition="0">
        <references count="3">
          <reference field="4294967294" count="1" selected="0">
            <x v="1"/>
          </reference>
          <reference field="0" count="0"/>
          <reference field="1" count="1" selected="0">
            <x v="0"/>
          </reference>
        </references>
      </pivotArea>
    </format>
    <format dxfId="13">
      <pivotArea collapsedLevelsAreSubtotals="1" fieldPosition="0">
        <references count="2">
          <reference field="4294967294" count="1" selected="0">
            <x v="1"/>
          </reference>
          <reference field="1" count="1">
            <x v="1"/>
          </reference>
        </references>
      </pivotArea>
    </format>
    <format dxfId="14">
      <pivotArea collapsedLevelsAreSubtotals="1" fieldPosition="0">
        <references count="3">
          <reference field="4294967294" count="1" selected="0">
            <x v="1"/>
          </reference>
          <reference field="0" count="0"/>
          <reference field="1" count="1" selected="0">
            <x v="1"/>
          </reference>
        </references>
      </pivotArea>
    </format>
    <format dxfId="15">
      <pivotArea collapsedLevelsAreSubtotals="1" fieldPosition="0">
        <references count="2">
          <reference field="4294967294" count="1" selected="0">
            <x v="1"/>
          </reference>
          <reference field="1" count="1">
            <x v="2"/>
          </reference>
        </references>
      </pivotArea>
    </format>
    <format dxfId="16">
      <pivotArea collapsedLevelsAreSubtotals="1" fieldPosition="0">
        <references count="3">
          <reference field="4294967294" count="1" selected="0">
            <x v="1"/>
          </reference>
          <reference field="0" count="0"/>
          <reference field="1" count="1" selected="0">
            <x v="2"/>
          </reference>
        </references>
      </pivotArea>
    </format>
    <format dxfId="17">
      <pivotArea field="1" grandRow="1" outline="0" collapsedLevelsAreSubtotals="1" axis="axisRow" fieldPosition="0">
        <references count="1">
          <reference field="4294967294" count="1" selected="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s>
  <pivotHierarchies count="3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ice per Un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0"/>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0658B4B-F01D-4E93-AB61-4EB646957B3E}" autoFormatId="16" applyNumberFormats="0" applyBorderFormats="0" applyFontFormats="0" applyPatternFormats="0" applyAlignmentFormats="0" applyWidthHeightFormats="0">
  <queryTableRefresh nextId="22">
    <queryTableFields count="15">
      <queryTableField id="1" name="Transaction ID" tableColumnId="1"/>
      <queryTableField id="2" name="Date" tableColumnId="2"/>
      <queryTableField id="3" name="Customer ID" tableColumnId="3"/>
      <queryTableField id="4" name="Gender" tableColumnId="4"/>
      <queryTableField id="5" name="Age" tableColumnId="5"/>
      <queryTableField id="6" name="Product Category" tableColumnId="6"/>
      <queryTableField id="7" name="Quantity" tableColumnId="7"/>
      <queryTableField id="8" name="Price per Unit" tableColumnId="8"/>
      <queryTableField id="9" name="Total Amount" tableColumnId="9"/>
      <queryTableField id="16" name="Age Bracket" tableColumnId="16"/>
      <queryTableField id="17" name="Count Order" tableColumnId="17"/>
      <queryTableField id="18" name="Date (Year)" tableColumnId="18"/>
      <queryTableField id="19" name="Date (Quarter)" tableColumnId="19"/>
      <queryTableField id="20" name="Date (Month Index)" tableColumnId="20"/>
      <queryTableField id="21" name="Date (Month)" tableColumnId="21"/>
    </queryTableFields>
    <queryTableDeletedFields count="6">
      <deletedField name="Total Sales"/>
      <deletedField name="Total Units Sold"/>
      <deletedField name="Transaction Count"/>
      <deletedField name="Average Order Value (AOV)"/>
      <deletedField name="Average Price per Unit"/>
      <deletedField name="Age Bracket"/>
    </queryTableDeletedFields>
  </queryTableRefresh>
  <extLst>
    <ext xmlns:x15="http://schemas.microsoft.com/office/spreadsheetml/2010/11/main" uri="{883FBD77-0823-4a55-B5E3-86C4891E6966}">
      <x15:queryTable sourceDataName="Query - retail_sales_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2A4A8649-AC17-411D-A3A8-B771A9A3A87F}" autoFormatId="16" applyNumberFormats="0" applyBorderFormats="0" applyFontFormats="0" applyPatternFormats="0" applyAlignmentFormats="0" applyWidthHeightFormats="0">
  <queryTableRefresh nextId="21">
    <queryTableFields count="15">
      <queryTableField id="1" name="Transaction ID" tableColumnId="1"/>
      <queryTableField id="2" name="Date" tableColumnId="2"/>
      <queryTableField id="3" name="Customer ID" tableColumnId="3"/>
      <queryTableField id="4" name="Gender" tableColumnId="4"/>
      <queryTableField id="5" name="Age" tableColumnId="5"/>
      <queryTableField id="6" name="Product Category" tableColumnId="6"/>
      <queryTableField id="7" name="Quantity" tableColumnId="7"/>
      <queryTableField id="8" name="Price per Unit" tableColumnId="8"/>
      <queryTableField id="9" name="Total Amount" tableColumnId="9"/>
      <queryTableField id="15" name="Age Bracket" tableColumnId="15"/>
      <queryTableField id="16" name="Count Order" tableColumnId="17"/>
      <queryTableField id="17" name="Date (Year)" tableColumnId="18"/>
      <queryTableField id="18" name="Date (Quarter)" tableColumnId="19"/>
      <queryTableField id="19" name="Date (Month Index)" tableColumnId="20"/>
      <queryTableField id="20" name="Date (Month)" tableColumnId="21"/>
    </queryTableFields>
    <queryTableDeletedFields count="5">
      <deletedField name="Total Sales"/>
      <deletedField name="Total Units Sold"/>
      <deletedField name="Transaction Count"/>
      <deletedField name="Average Order Value (AOV)"/>
      <deletedField name="Average Price per Unit"/>
    </queryTableDeletedFields>
  </queryTableRefresh>
  <extLst>
    <ext xmlns:x15="http://schemas.microsoft.com/office/spreadsheetml/2010/11/main" uri="{883FBD77-0823-4a55-B5E3-86C4891E6966}">
      <x15:queryTable sourceDataName="Query - retail_sales_datase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10FEE06E-DE96-499A-8914-C2409BCA8AB2}" sourceName="[retail_sales_dataset].[Age Bracket]">
  <pivotTables>
    <pivotTable tabId="1" name="PivotTable2"/>
    <pivotTable tabId="1" name="PivotTable1"/>
    <pivotTable tabId="1" name="PivotTable3"/>
  </pivotTables>
  <data>
    <olap pivotCacheId="465880610">
      <levels count="2">
        <level uniqueName="[retail_sales_dataset].[Age Bracket].[(All)]" sourceCaption="(All)" count="0"/>
        <level uniqueName="[retail_sales_dataset].[Age Bracket].[Age Bracket]" sourceCaption="Age Bracket" count="3">
          <ranges>
            <range startItem="0">
              <i n="[retail_sales_dataset].[Age Bracket].&amp;[Adolescent]" c="Adolescent"/>
              <i n="[retail_sales_dataset].[Age Bracket].&amp;[Middle Age]" c="Middle Age"/>
              <i n="[retail_sales_dataset].[Age Bracket].&amp;[Old]" c="Old"/>
            </range>
          </ranges>
        </level>
      </levels>
      <selections count="1">
        <selection n="[retail_sales_dataset].[Age Bracke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A0ECA73-5E88-4ABB-ABC2-FFDA225E27C3}" sourceName="[retail_sales_dataset].[Gender]">
  <pivotTables>
    <pivotTable tabId="1" name="PivotTable2"/>
    <pivotTable tabId="1" name="PivotTable1"/>
    <pivotTable tabId="1" name="PivotTable3"/>
  </pivotTables>
  <data>
    <olap pivotCacheId="465880610">
      <levels count="2">
        <level uniqueName="[retail_sales_dataset].[Gender].[(All)]" sourceCaption="(All)" count="0"/>
        <level uniqueName="[retail_sales_dataset].[Gender].[Gender]" sourceCaption="Gender" count="2">
          <ranges>
            <range startItem="0">
              <i n="[retail_sales_dataset].[Gender].&amp;[Female]" c="Female"/>
              <i n="[retail_sales_dataset].[Gender].&amp;[Male]" c="Male"/>
            </range>
          </ranges>
        </level>
      </levels>
      <selections count="1">
        <selection n="[retail_sales_dataset].[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Quarter" xr10:uid="{A1CA9EF4-8B10-46A4-8EED-C9C2352A18D7}" sourceName="[retail_sales_dataset].[Date (Quarter)]">
  <pivotTables>
    <pivotTable tabId="1" name="PivotTable1"/>
    <pivotTable tabId="1" name="PivotTable3"/>
    <pivotTable tabId="1" name="PivotTable2"/>
  </pivotTables>
  <data>
    <olap pivotCacheId="465880610">
      <levels count="2">
        <level uniqueName="[retail_sales_dataset].[Date (Quarter)].[(All)]" sourceCaption="(All)" count="0"/>
        <level uniqueName="[retail_sales_dataset].[Date (Quarter)].[Date (Quarter)]" sourceCaption="Date (Quarter)" count="4">
          <ranges>
            <range startItem="0">
              <i n="[retail_sales_dataset].[Date (Quarter)].&amp;[Qtr1]" c="Qtr1"/>
              <i n="[retail_sales_dataset].[Date (Quarter)].&amp;[Qtr2]" c="Qtr2"/>
              <i n="[retail_sales_dataset].[Date (Quarter)].&amp;[Qtr3]" c="Qtr3"/>
              <i n="[retail_sales_dataset].[Date (Quarter)].&amp;[Qtr4]" c="Qtr4"/>
            </range>
          </ranges>
        </level>
      </levels>
      <selections count="1">
        <selection n="[retail_sales_dataset].[Date (Quart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AF6DF80-4E0F-41C8-938F-72C17C1CC3AD}" sourceName="[retail_sales_dataset].[Product Category]">
  <pivotTables>
    <pivotTable tabId="1" name="PivotTable3"/>
  </pivotTables>
  <data>
    <olap pivotCacheId="1308176088">
      <levels count="2">
        <level uniqueName="[retail_sales_dataset].[Product Category].[(All)]" sourceCaption="(All)" count="0"/>
        <level uniqueName="[retail_sales_dataset].[Product Category].[Product Category]" sourceCaption="Product Category" count="3">
          <ranges>
            <range startItem="0">
              <i n="[retail_sales_dataset].[Product Category].&amp;[Beauty]" c="Beauty"/>
              <i n="[retail_sales_dataset].[Product Category].&amp;[Clothing]" c="Clothing"/>
              <i n="[retail_sales_dataset].[Product Category].&amp;[Electronics]" c="Electronics"/>
            </range>
          </ranges>
        </level>
      </levels>
      <selections count="1">
        <selection n="[retail_sales_dataset].[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 xr10:uid="{345A6DF8-E4B6-4A36-AFA2-2643B9DEAE95}" cache="Slicer_Age_Bracket" caption="Age Bracket" level="1" rowHeight="257175"/>
  <slicer name="Gender" xr10:uid="{F70756BA-2F2D-4EF8-A74B-02631ACFCE45}" cache="Slicer_Gender" caption="Gender" level="1" rowHeight="257175"/>
  <slicer name="Date (Quarter)" xr10:uid="{48A4EAF4-288E-4CDE-A94F-68C2BC63FD64}" cache="Slicer_Date__Quarter" caption="Date (Quarter)" level="1" rowHeight="257175"/>
  <slicer name="Product Category" xr10:uid="{62B4ACE8-2806-497D-8972-6F0BEA741149}" cache="Slicer_Product_Category" caption="Product Category"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551167-3F86-4F9E-AC69-1838548198FE}" name="retail_sales_dataset" displayName="retail_sales_dataset" ref="A1:O1001" tableType="queryTable" totalsRowShown="0">
  <autoFilter ref="A1:O1001" xr:uid="{82551167-3F86-4F9E-AC69-1838548198FE}"/>
  <tableColumns count="15">
    <tableColumn id="1" xr3:uid="{473CFE7D-ACE2-46A1-99A3-9C1DD889932C}" uniqueName="1" name="Transaction ID" queryTableFieldId="1"/>
    <tableColumn id="2" xr3:uid="{500A5AB5-0D52-4055-9A31-D8BD61A7BC8C}" uniqueName="2" name="Date" queryTableFieldId="2" dataDxfId="27"/>
    <tableColumn id="3" xr3:uid="{13AD192D-7847-48D5-BB0D-F9477CD27EB2}" uniqueName="3" name="Customer ID" queryTableFieldId="3" dataDxfId="26"/>
    <tableColumn id="4" xr3:uid="{B14F19C3-FED0-4CA3-A18F-B6039EA492A4}" uniqueName="4" name="Gender" queryTableFieldId="4" dataDxfId="25"/>
    <tableColumn id="5" xr3:uid="{B3D187B4-A41C-4C0A-A6F1-B343D2865FC5}" uniqueName="5" name="Age" queryTableFieldId="5"/>
    <tableColumn id="6" xr3:uid="{0A04D319-5D5E-42F8-932A-8322673AC5DB}" uniqueName="6" name="Product Category" queryTableFieldId="6" dataDxfId="24"/>
    <tableColumn id="7" xr3:uid="{4A52EB2B-791C-4E1D-86FB-90053258F9B6}" uniqueName="7" name="Quantity" queryTableFieldId="7"/>
    <tableColumn id="8" xr3:uid="{20B03406-BD6D-428C-AD99-E4958DD55715}" uniqueName="8" name="Price per Unit" queryTableFieldId="8"/>
    <tableColumn id="9" xr3:uid="{87887094-34B9-4547-87DB-D94C94CA81D8}" uniqueName="9" name="Total Amount" queryTableFieldId="9"/>
    <tableColumn id="16" xr3:uid="{8BD0FF71-E2EF-45A7-BE3D-81AC379F5787}" uniqueName="16" name="Age Bracket" queryTableFieldId="16"/>
    <tableColumn id="17" xr3:uid="{BBC96BF8-F60E-4A73-B454-B3BBC7B1FBDF}" uniqueName="17" name="Count Order" queryTableFieldId="17"/>
    <tableColumn id="18" xr3:uid="{05D018E9-1F8F-4BBA-88A3-B586F6A6CD5E}" uniqueName="18" name="Date (Year)" queryTableFieldId="18"/>
    <tableColumn id="19" xr3:uid="{517F465E-ABCC-4737-BD76-E148B120D2F3}" uniqueName="19" name="Date (Quarter)" queryTableFieldId="19"/>
    <tableColumn id="20" xr3:uid="{3E46E799-B489-4CA3-986C-41CEBBD49C11}" uniqueName="20" name="Date (Month Index)" queryTableFieldId="20"/>
    <tableColumn id="21" xr3:uid="{2F0E8F2B-A4FE-4309-936A-A26D00349E95}" uniqueName="21" name="Date (Month)" queryTableField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1C5618-F5F4-4A04-9B61-34128FB87B81}" name="retail_sales_dataset3" displayName="retail_sales_dataset3" ref="A1:O1001" tableType="queryTable" totalsRowShown="0">
  <autoFilter ref="A1:O1001" xr:uid="{82551167-3F86-4F9E-AC69-1838548198FE}"/>
  <tableColumns count="15">
    <tableColumn id="1" xr3:uid="{67EE8927-4291-47F8-9C2E-4F6F05F47392}" uniqueName="1" name="Transaction ID" queryTableFieldId="1"/>
    <tableColumn id="2" xr3:uid="{08A4C41E-0ED2-4827-8A17-9EE6B7A0C63B}" uniqueName="2" name="Date" queryTableFieldId="2" dataDxfId="23"/>
    <tableColumn id="3" xr3:uid="{9743468C-95F8-4C0B-A269-AF1ACE66A599}" uniqueName="3" name="Customer ID" queryTableFieldId="3" dataDxfId="22"/>
    <tableColumn id="4" xr3:uid="{5AA3E843-F0F4-4074-A5D2-7E888E9AA0C8}" uniqueName="4" name="Gender" queryTableFieldId="4" dataDxfId="21"/>
    <tableColumn id="5" xr3:uid="{4B312DEE-28D2-442B-AED9-4756F896F44E}" uniqueName="5" name="Age" queryTableFieldId="5"/>
    <tableColumn id="6" xr3:uid="{1CD0B524-4014-49D8-A0DC-E9A9643D4509}" uniqueName="6" name="Product Category" queryTableFieldId="6" dataDxfId="20"/>
    <tableColumn id="7" xr3:uid="{6A577367-4E36-4EDC-A955-16B0C7FF62A6}" uniqueName="7" name="Quantity" queryTableFieldId="7"/>
    <tableColumn id="8" xr3:uid="{E68FEC2A-27BA-45CE-B80B-C9CF0FD2BF3F}" uniqueName="8" name="Price per Unit" queryTableFieldId="8" dataDxfId="19" dataCellStyle="Currency"/>
    <tableColumn id="9" xr3:uid="{58979CF7-3C2C-4474-8C36-D7C240DFE913}" uniqueName="9" name="Total Amount" queryTableFieldId="9" dataDxfId="18" dataCellStyle="Currency"/>
    <tableColumn id="15" xr3:uid="{78D18C35-EE7C-43A2-91D4-3F50F05A6E32}" uniqueName="15" name="Age Bracket" queryTableFieldId="15"/>
    <tableColumn id="17" xr3:uid="{D192FA31-E185-441C-A2CB-79583189ADCB}" uniqueName="17" name="Count Order" queryTableFieldId="16"/>
    <tableColumn id="18" xr3:uid="{425FE333-9ACD-4A1B-A76E-A01F32844B09}" uniqueName="18" name="Date (Year)" queryTableFieldId="17"/>
    <tableColumn id="19" xr3:uid="{90F5F160-8B37-4A32-95F5-BDD56DE8E89B}" uniqueName="19" name="Date (Quarter)" queryTableFieldId="18"/>
    <tableColumn id="20" xr3:uid="{C550B5B4-E80A-4540-A321-58BF57EB571A}" uniqueName="20" name="Date (Month Index)" queryTableFieldId="19"/>
    <tableColumn id="21" xr3:uid="{74E7D288-4E2F-4BD1-B8AB-849B7D47DD1A}" uniqueName="21" name="Date (Month)"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D967A-5976-4F52-B0DA-A5FE734B686C}">
  <dimension ref="A1:O1001"/>
  <sheetViews>
    <sheetView workbookViewId="0">
      <selection activeCell="D31" sqref="D31"/>
    </sheetView>
  </sheetViews>
  <sheetFormatPr defaultRowHeight="15" x14ac:dyDescent="0.25"/>
  <cols>
    <col min="1" max="1" width="16.28515625" bestFit="1" customWidth="1"/>
    <col min="2" max="2" width="10.42578125" bestFit="1" customWidth="1"/>
    <col min="3" max="3" width="14.7109375" bestFit="1" customWidth="1"/>
    <col min="4" max="4" width="10" bestFit="1" customWidth="1"/>
    <col min="5" max="5" width="6.5703125" bestFit="1" customWidth="1"/>
    <col min="6" max="6" width="19" bestFit="1" customWidth="1"/>
    <col min="7" max="7" width="11" bestFit="1" customWidth="1"/>
    <col min="8" max="8" width="15.5703125" bestFit="1" customWidth="1"/>
    <col min="9" max="9" width="15.140625" bestFit="1" customWidth="1"/>
    <col min="10" max="10" width="13.7109375" bestFit="1" customWidth="1"/>
    <col min="11" max="11" width="14.42578125" bestFit="1" customWidth="1"/>
    <col min="12" max="12" width="13.42578125" bestFit="1" customWidth="1"/>
    <col min="13" max="13" width="16.42578125" bestFit="1" customWidth="1"/>
    <col min="14" max="14" width="20.85546875" bestFit="1" customWidth="1"/>
    <col min="15" max="15" width="15.140625" bestFit="1" customWidth="1"/>
  </cols>
  <sheetData>
    <row r="1" spans="1:15" x14ac:dyDescent="0.25">
      <c r="A1" t="s">
        <v>4</v>
      </c>
      <c r="B1" t="s">
        <v>5</v>
      </c>
      <c r="C1" t="s">
        <v>6</v>
      </c>
      <c r="D1" t="s">
        <v>7</v>
      </c>
      <c r="E1" t="s">
        <v>8</v>
      </c>
      <c r="F1" t="s">
        <v>9</v>
      </c>
      <c r="G1" t="s">
        <v>10</v>
      </c>
      <c r="H1" t="s">
        <v>11</v>
      </c>
      <c r="I1" t="s">
        <v>12</v>
      </c>
      <c r="J1" t="s">
        <v>17</v>
      </c>
      <c r="K1" t="s">
        <v>1027</v>
      </c>
      <c r="L1" t="s">
        <v>1034</v>
      </c>
      <c r="M1" t="s">
        <v>1035</v>
      </c>
      <c r="N1" t="s">
        <v>1036</v>
      </c>
      <c r="O1" t="s">
        <v>1037</v>
      </c>
    </row>
    <row r="2" spans="1:15" x14ac:dyDescent="0.25">
      <c r="A2">
        <v>7</v>
      </c>
      <c r="B2" s="6">
        <v>44998</v>
      </c>
      <c r="C2" s="5" t="s">
        <v>18</v>
      </c>
      <c r="D2" s="5" t="s">
        <v>2</v>
      </c>
      <c r="E2">
        <v>46</v>
      </c>
      <c r="F2" s="5" t="s">
        <v>19</v>
      </c>
      <c r="G2">
        <v>2</v>
      </c>
      <c r="H2">
        <v>25</v>
      </c>
      <c r="I2">
        <v>50</v>
      </c>
      <c r="J2" t="s">
        <v>20</v>
      </c>
      <c r="K2" t="s">
        <v>1028</v>
      </c>
      <c r="L2" t="s">
        <v>1038</v>
      </c>
      <c r="M2" t="s">
        <v>1039</v>
      </c>
      <c r="N2">
        <v>3</v>
      </c>
      <c r="O2" t="s">
        <v>1040</v>
      </c>
    </row>
    <row r="3" spans="1:15" x14ac:dyDescent="0.25">
      <c r="A3">
        <v>17</v>
      </c>
      <c r="B3" s="6">
        <v>45038</v>
      </c>
      <c r="C3" s="5" t="s">
        <v>21</v>
      </c>
      <c r="D3" s="5" t="s">
        <v>1</v>
      </c>
      <c r="E3">
        <v>27</v>
      </c>
      <c r="F3" s="5" t="s">
        <v>19</v>
      </c>
      <c r="G3">
        <v>4</v>
      </c>
      <c r="H3">
        <v>25</v>
      </c>
      <c r="I3">
        <v>100</v>
      </c>
      <c r="J3" t="s">
        <v>22</v>
      </c>
      <c r="K3" t="s">
        <v>1029</v>
      </c>
      <c r="L3" t="s">
        <v>1038</v>
      </c>
      <c r="M3" t="s">
        <v>1041</v>
      </c>
      <c r="N3">
        <v>4</v>
      </c>
      <c r="O3" t="s">
        <v>1042</v>
      </c>
    </row>
    <row r="4" spans="1:15" x14ac:dyDescent="0.25">
      <c r="A4">
        <v>19</v>
      </c>
      <c r="B4" s="6">
        <v>45185</v>
      </c>
      <c r="C4" s="5" t="s">
        <v>23</v>
      </c>
      <c r="D4" s="5" t="s">
        <v>1</v>
      </c>
      <c r="E4">
        <v>62</v>
      </c>
      <c r="F4" s="5" t="s">
        <v>19</v>
      </c>
      <c r="G4">
        <v>2</v>
      </c>
      <c r="H4">
        <v>25</v>
      </c>
      <c r="I4">
        <v>50</v>
      </c>
      <c r="J4" t="s">
        <v>24</v>
      </c>
      <c r="K4" t="s">
        <v>1030</v>
      </c>
      <c r="L4" t="s">
        <v>1038</v>
      </c>
      <c r="M4" t="s">
        <v>1033</v>
      </c>
      <c r="N4">
        <v>9</v>
      </c>
      <c r="O4" t="s">
        <v>1043</v>
      </c>
    </row>
    <row r="5" spans="1:15" x14ac:dyDescent="0.25">
      <c r="A5">
        <v>41</v>
      </c>
      <c r="B5" s="6">
        <v>44979</v>
      </c>
      <c r="C5" s="5" t="s">
        <v>25</v>
      </c>
      <c r="D5" s="5" t="s">
        <v>2</v>
      </c>
      <c r="E5">
        <v>34</v>
      </c>
      <c r="F5" s="5" t="s">
        <v>19</v>
      </c>
      <c r="G5">
        <v>2</v>
      </c>
      <c r="H5">
        <v>25</v>
      </c>
      <c r="I5">
        <v>50</v>
      </c>
      <c r="J5" t="s">
        <v>20</v>
      </c>
      <c r="K5" t="s">
        <v>1028</v>
      </c>
      <c r="L5" t="s">
        <v>1038</v>
      </c>
      <c r="M5" t="s">
        <v>1039</v>
      </c>
      <c r="N5">
        <v>2</v>
      </c>
      <c r="O5" t="s">
        <v>1044</v>
      </c>
    </row>
    <row r="6" spans="1:15" x14ac:dyDescent="0.25">
      <c r="A6">
        <v>44</v>
      </c>
      <c r="B6" s="6">
        <v>44976</v>
      </c>
      <c r="C6" s="5" t="s">
        <v>26</v>
      </c>
      <c r="D6" s="5" t="s">
        <v>1</v>
      </c>
      <c r="E6">
        <v>22</v>
      </c>
      <c r="F6" s="5" t="s">
        <v>19</v>
      </c>
      <c r="G6">
        <v>1</v>
      </c>
      <c r="H6">
        <v>25</v>
      </c>
      <c r="I6">
        <v>25</v>
      </c>
      <c r="J6" t="s">
        <v>22</v>
      </c>
      <c r="K6" t="s">
        <v>1029</v>
      </c>
      <c r="L6" t="s">
        <v>1038</v>
      </c>
      <c r="M6" t="s">
        <v>1039</v>
      </c>
      <c r="N6">
        <v>2</v>
      </c>
      <c r="O6" t="s">
        <v>1044</v>
      </c>
    </row>
    <row r="7" spans="1:15" x14ac:dyDescent="0.25">
      <c r="A7">
        <v>64</v>
      </c>
      <c r="B7" s="6">
        <v>44950</v>
      </c>
      <c r="C7" s="5" t="s">
        <v>27</v>
      </c>
      <c r="D7" s="5" t="s">
        <v>2</v>
      </c>
      <c r="E7">
        <v>49</v>
      </c>
      <c r="F7" s="5" t="s">
        <v>19</v>
      </c>
      <c r="G7">
        <v>4</v>
      </c>
      <c r="H7">
        <v>25</v>
      </c>
      <c r="I7">
        <v>100</v>
      </c>
      <c r="J7" t="s">
        <v>20</v>
      </c>
      <c r="K7" t="s">
        <v>1028</v>
      </c>
      <c r="L7" t="s">
        <v>1038</v>
      </c>
      <c r="M7" t="s">
        <v>1039</v>
      </c>
      <c r="N7">
        <v>1</v>
      </c>
      <c r="O7" t="s">
        <v>1045</v>
      </c>
    </row>
    <row r="8" spans="1:15" x14ac:dyDescent="0.25">
      <c r="A8">
        <v>103</v>
      </c>
      <c r="B8" s="6">
        <v>44943</v>
      </c>
      <c r="C8" s="5" t="s">
        <v>28</v>
      </c>
      <c r="D8" s="5" t="s">
        <v>1</v>
      </c>
      <c r="E8">
        <v>59</v>
      </c>
      <c r="F8" s="5" t="s">
        <v>19</v>
      </c>
      <c r="G8">
        <v>1</v>
      </c>
      <c r="H8">
        <v>25</v>
      </c>
      <c r="I8">
        <v>25</v>
      </c>
      <c r="J8" t="s">
        <v>24</v>
      </c>
      <c r="K8" t="s">
        <v>1030</v>
      </c>
      <c r="L8" t="s">
        <v>1038</v>
      </c>
      <c r="M8" t="s">
        <v>1039</v>
      </c>
      <c r="N8">
        <v>1</v>
      </c>
      <c r="O8" t="s">
        <v>1045</v>
      </c>
    </row>
    <row r="9" spans="1:15" x14ac:dyDescent="0.25">
      <c r="A9">
        <v>127</v>
      </c>
      <c r="B9" s="6">
        <v>45131</v>
      </c>
      <c r="C9" s="5" t="s">
        <v>29</v>
      </c>
      <c r="D9" s="5" t="s">
        <v>1</v>
      </c>
      <c r="E9">
        <v>33</v>
      </c>
      <c r="F9" s="5" t="s">
        <v>19</v>
      </c>
      <c r="G9">
        <v>2</v>
      </c>
      <c r="H9">
        <v>25</v>
      </c>
      <c r="I9">
        <v>50</v>
      </c>
      <c r="J9" t="s">
        <v>20</v>
      </c>
      <c r="K9" t="s">
        <v>1028</v>
      </c>
      <c r="L9" t="s">
        <v>1038</v>
      </c>
      <c r="M9" t="s">
        <v>1033</v>
      </c>
      <c r="N9">
        <v>7</v>
      </c>
      <c r="O9" t="s">
        <v>1046</v>
      </c>
    </row>
    <row r="10" spans="1:15" x14ac:dyDescent="0.25">
      <c r="A10">
        <v>135</v>
      </c>
      <c r="B10" s="6">
        <v>44983</v>
      </c>
      <c r="C10" s="5" t="s">
        <v>30</v>
      </c>
      <c r="D10" s="5" t="s">
        <v>2</v>
      </c>
      <c r="E10">
        <v>20</v>
      </c>
      <c r="F10" s="5" t="s">
        <v>19</v>
      </c>
      <c r="G10">
        <v>2</v>
      </c>
      <c r="H10">
        <v>25</v>
      </c>
      <c r="I10">
        <v>50</v>
      </c>
      <c r="J10" t="s">
        <v>22</v>
      </c>
      <c r="K10" t="s">
        <v>1029</v>
      </c>
      <c r="L10" t="s">
        <v>1038</v>
      </c>
      <c r="M10" t="s">
        <v>1039</v>
      </c>
      <c r="N10">
        <v>2</v>
      </c>
      <c r="O10" t="s">
        <v>1044</v>
      </c>
    </row>
    <row r="11" spans="1:15" x14ac:dyDescent="0.25">
      <c r="A11">
        <v>145</v>
      </c>
      <c r="B11" s="6">
        <v>45232</v>
      </c>
      <c r="C11" s="5" t="s">
        <v>31</v>
      </c>
      <c r="D11" s="5" t="s">
        <v>1</v>
      </c>
      <c r="E11">
        <v>39</v>
      </c>
      <c r="F11" s="5" t="s">
        <v>19</v>
      </c>
      <c r="G11">
        <v>3</v>
      </c>
      <c r="H11">
        <v>25</v>
      </c>
      <c r="I11">
        <v>75</v>
      </c>
      <c r="J11" t="s">
        <v>20</v>
      </c>
      <c r="K11" t="s">
        <v>1028</v>
      </c>
      <c r="L11" t="s">
        <v>1038</v>
      </c>
      <c r="M11" t="s">
        <v>1047</v>
      </c>
      <c r="N11">
        <v>11</v>
      </c>
      <c r="O11" t="s">
        <v>1048</v>
      </c>
    </row>
    <row r="12" spans="1:15" x14ac:dyDescent="0.25">
      <c r="A12">
        <v>149</v>
      </c>
      <c r="B12" s="6">
        <v>45210</v>
      </c>
      <c r="C12" s="5" t="s">
        <v>32</v>
      </c>
      <c r="D12" s="5" t="s">
        <v>2</v>
      </c>
      <c r="E12">
        <v>22</v>
      </c>
      <c r="F12" s="5" t="s">
        <v>19</v>
      </c>
      <c r="G12">
        <v>3</v>
      </c>
      <c r="H12">
        <v>25</v>
      </c>
      <c r="I12">
        <v>75</v>
      </c>
      <c r="J12" t="s">
        <v>22</v>
      </c>
      <c r="K12" t="s">
        <v>1029</v>
      </c>
      <c r="L12" t="s">
        <v>1038</v>
      </c>
      <c r="M12" t="s">
        <v>1047</v>
      </c>
      <c r="N12">
        <v>10</v>
      </c>
      <c r="O12" t="s">
        <v>1049</v>
      </c>
    </row>
    <row r="13" spans="1:15" x14ac:dyDescent="0.25">
      <c r="A13">
        <v>156</v>
      </c>
      <c r="B13" s="6">
        <v>45255</v>
      </c>
      <c r="C13" s="5" t="s">
        <v>33</v>
      </c>
      <c r="D13" s="5" t="s">
        <v>1</v>
      </c>
      <c r="E13">
        <v>43</v>
      </c>
      <c r="F13" s="5" t="s">
        <v>19</v>
      </c>
      <c r="G13">
        <v>4</v>
      </c>
      <c r="H13">
        <v>25</v>
      </c>
      <c r="I13">
        <v>100</v>
      </c>
      <c r="J13" t="s">
        <v>20</v>
      </c>
      <c r="K13" t="s">
        <v>1028</v>
      </c>
      <c r="L13" t="s">
        <v>1038</v>
      </c>
      <c r="M13" t="s">
        <v>1047</v>
      </c>
      <c r="N13">
        <v>11</v>
      </c>
      <c r="O13" t="s">
        <v>1048</v>
      </c>
    </row>
    <row r="14" spans="1:15" x14ac:dyDescent="0.25">
      <c r="A14">
        <v>170</v>
      </c>
      <c r="B14" s="6">
        <v>45079</v>
      </c>
      <c r="C14" s="5" t="s">
        <v>34</v>
      </c>
      <c r="D14" s="5" t="s">
        <v>1</v>
      </c>
      <c r="E14">
        <v>25</v>
      </c>
      <c r="F14" s="5" t="s">
        <v>19</v>
      </c>
      <c r="G14">
        <v>2</v>
      </c>
      <c r="H14">
        <v>25</v>
      </c>
      <c r="I14">
        <v>50</v>
      </c>
      <c r="J14" t="s">
        <v>22</v>
      </c>
      <c r="K14" t="s">
        <v>1029</v>
      </c>
      <c r="L14" t="s">
        <v>1038</v>
      </c>
      <c r="M14" t="s">
        <v>1041</v>
      </c>
      <c r="N14">
        <v>6</v>
      </c>
      <c r="O14" t="s">
        <v>1050</v>
      </c>
    </row>
    <row r="15" spans="1:15" x14ac:dyDescent="0.25">
      <c r="A15">
        <v>185</v>
      </c>
      <c r="B15" s="6">
        <v>44984</v>
      </c>
      <c r="C15" s="5" t="s">
        <v>35</v>
      </c>
      <c r="D15" s="5" t="s">
        <v>2</v>
      </c>
      <c r="E15">
        <v>24</v>
      </c>
      <c r="F15" s="5" t="s">
        <v>19</v>
      </c>
      <c r="G15">
        <v>1</v>
      </c>
      <c r="H15">
        <v>25</v>
      </c>
      <c r="I15">
        <v>25</v>
      </c>
      <c r="J15" t="s">
        <v>22</v>
      </c>
      <c r="K15" t="s">
        <v>1029</v>
      </c>
      <c r="L15" t="s">
        <v>1038</v>
      </c>
      <c r="M15" t="s">
        <v>1039</v>
      </c>
      <c r="N15">
        <v>2</v>
      </c>
      <c r="O15" t="s">
        <v>1044</v>
      </c>
    </row>
    <row r="16" spans="1:15" x14ac:dyDescent="0.25">
      <c r="A16">
        <v>188</v>
      </c>
      <c r="B16" s="6">
        <v>45049</v>
      </c>
      <c r="C16" s="5" t="s">
        <v>36</v>
      </c>
      <c r="D16" s="5" t="s">
        <v>2</v>
      </c>
      <c r="E16">
        <v>40</v>
      </c>
      <c r="F16" s="5" t="s">
        <v>19</v>
      </c>
      <c r="G16">
        <v>3</v>
      </c>
      <c r="H16">
        <v>25</v>
      </c>
      <c r="I16">
        <v>75</v>
      </c>
      <c r="J16" t="s">
        <v>20</v>
      </c>
      <c r="K16" t="s">
        <v>1028</v>
      </c>
      <c r="L16" t="s">
        <v>1038</v>
      </c>
      <c r="M16" t="s">
        <v>1041</v>
      </c>
      <c r="N16">
        <v>5</v>
      </c>
      <c r="O16" t="s">
        <v>1032</v>
      </c>
    </row>
    <row r="17" spans="1:15" x14ac:dyDescent="0.25">
      <c r="A17">
        <v>205</v>
      </c>
      <c r="B17" s="6">
        <v>45237</v>
      </c>
      <c r="C17" s="5" t="s">
        <v>37</v>
      </c>
      <c r="D17" s="5" t="s">
        <v>1</v>
      </c>
      <c r="E17">
        <v>43</v>
      </c>
      <c r="F17" s="5" t="s">
        <v>19</v>
      </c>
      <c r="G17">
        <v>1</v>
      </c>
      <c r="H17">
        <v>25</v>
      </c>
      <c r="I17">
        <v>25</v>
      </c>
      <c r="J17" t="s">
        <v>20</v>
      </c>
      <c r="K17" t="s">
        <v>1028</v>
      </c>
      <c r="L17" t="s">
        <v>1038</v>
      </c>
      <c r="M17" t="s">
        <v>1047</v>
      </c>
      <c r="N17">
        <v>11</v>
      </c>
      <c r="O17" t="s">
        <v>1048</v>
      </c>
    </row>
    <row r="18" spans="1:15" x14ac:dyDescent="0.25">
      <c r="A18">
        <v>206</v>
      </c>
      <c r="B18" s="6">
        <v>45143</v>
      </c>
      <c r="C18" s="5" t="s">
        <v>38</v>
      </c>
      <c r="D18" s="5" t="s">
        <v>2</v>
      </c>
      <c r="E18">
        <v>61</v>
      </c>
      <c r="F18" s="5" t="s">
        <v>19</v>
      </c>
      <c r="G18">
        <v>1</v>
      </c>
      <c r="H18">
        <v>25</v>
      </c>
      <c r="I18">
        <v>25</v>
      </c>
      <c r="J18" t="s">
        <v>24</v>
      </c>
      <c r="K18" t="s">
        <v>1030</v>
      </c>
      <c r="L18" t="s">
        <v>1038</v>
      </c>
      <c r="M18" t="s">
        <v>1033</v>
      </c>
      <c r="N18">
        <v>8</v>
      </c>
      <c r="O18" t="s">
        <v>1051</v>
      </c>
    </row>
    <row r="19" spans="1:15" x14ac:dyDescent="0.25">
      <c r="A19">
        <v>223</v>
      </c>
      <c r="B19" s="6">
        <v>44959</v>
      </c>
      <c r="C19" s="5" t="s">
        <v>39</v>
      </c>
      <c r="D19" s="5" t="s">
        <v>1</v>
      </c>
      <c r="E19">
        <v>64</v>
      </c>
      <c r="F19" s="5" t="s">
        <v>19</v>
      </c>
      <c r="G19">
        <v>1</v>
      </c>
      <c r="H19">
        <v>25</v>
      </c>
      <c r="I19">
        <v>25</v>
      </c>
      <c r="J19" t="s">
        <v>24</v>
      </c>
      <c r="K19" t="s">
        <v>1030</v>
      </c>
      <c r="L19" t="s">
        <v>1038</v>
      </c>
      <c r="M19" t="s">
        <v>1039</v>
      </c>
      <c r="N19">
        <v>2</v>
      </c>
      <c r="O19" t="s">
        <v>1044</v>
      </c>
    </row>
    <row r="20" spans="1:15" x14ac:dyDescent="0.25">
      <c r="A20">
        <v>236</v>
      </c>
      <c r="B20" s="6">
        <v>45044</v>
      </c>
      <c r="C20" s="5" t="s">
        <v>40</v>
      </c>
      <c r="D20" s="5" t="s">
        <v>1</v>
      </c>
      <c r="E20">
        <v>54</v>
      </c>
      <c r="F20" s="5" t="s">
        <v>19</v>
      </c>
      <c r="G20">
        <v>1</v>
      </c>
      <c r="H20">
        <v>25</v>
      </c>
      <c r="I20">
        <v>25</v>
      </c>
      <c r="J20" t="s">
        <v>20</v>
      </c>
      <c r="K20" t="s">
        <v>1028</v>
      </c>
      <c r="L20" t="s">
        <v>1038</v>
      </c>
      <c r="M20" t="s">
        <v>1041</v>
      </c>
      <c r="N20">
        <v>4</v>
      </c>
      <c r="O20" t="s">
        <v>1042</v>
      </c>
    </row>
    <row r="21" spans="1:15" x14ac:dyDescent="0.25">
      <c r="A21">
        <v>242</v>
      </c>
      <c r="B21" s="6">
        <v>45048</v>
      </c>
      <c r="C21" s="5" t="s">
        <v>41</v>
      </c>
      <c r="D21" s="5" t="s">
        <v>2</v>
      </c>
      <c r="E21">
        <v>21</v>
      </c>
      <c r="F21" s="5" t="s">
        <v>19</v>
      </c>
      <c r="G21">
        <v>1</v>
      </c>
      <c r="H21">
        <v>25</v>
      </c>
      <c r="I21">
        <v>25</v>
      </c>
      <c r="J21" t="s">
        <v>22</v>
      </c>
      <c r="K21" t="s">
        <v>1029</v>
      </c>
      <c r="L21" t="s">
        <v>1038</v>
      </c>
      <c r="M21" t="s">
        <v>1041</v>
      </c>
      <c r="N21">
        <v>5</v>
      </c>
      <c r="O21" t="s">
        <v>1032</v>
      </c>
    </row>
    <row r="22" spans="1:15" x14ac:dyDescent="0.25">
      <c r="A22">
        <v>261</v>
      </c>
      <c r="B22" s="6">
        <v>45143</v>
      </c>
      <c r="C22" s="5" t="s">
        <v>42</v>
      </c>
      <c r="D22" s="5" t="s">
        <v>2</v>
      </c>
      <c r="E22">
        <v>21</v>
      </c>
      <c r="F22" s="5" t="s">
        <v>19</v>
      </c>
      <c r="G22">
        <v>2</v>
      </c>
      <c r="H22">
        <v>25</v>
      </c>
      <c r="I22">
        <v>50</v>
      </c>
      <c r="J22" t="s">
        <v>22</v>
      </c>
      <c r="K22" t="s">
        <v>1029</v>
      </c>
      <c r="L22" t="s">
        <v>1038</v>
      </c>
      <c r="M22" t="s">
        <v>1033</v>
      </c>
      <c r="N22">
        <v>8</v>
      </c>
      <c r="O22" t="s">
        <v>1051</v>
      </c>
    </row>
    <row r="23" spans="1:15" x14ac:dyDescent="0.25">
      <c r="A23">
        <v>277</v>
      </c>
      <c r="B23" s="6">
        <v>45156</v>
      </c>
      <c r="C23" s="5" t="s">
        <v>43</v>
      </c>
      <c r="D23" s="5" t="s">
        <v>2</v>
      </c>
      <c r="E23">
        <v>36</v>
      </c>
      <c r="F23" s="5" t="s">
        <v>19</v>
      </c>
      <c r="G23">
        <v>4</v>
      </c>
      <c r="H23">
        <v>25</v>
      </c>
      <c r="I23">
        <v>100</v>
      </c>
      <c r="J23" t="s">
        <v>20</v>
      </c>
      <c r="K23" t="s">
        <v>1028</v>
      </c>
      <c r="L23" t="s">
        <v>1038</v>
      </c>
      <c r="M23" t="s">
        <v>1033</v>
      </c>
      <c r="N23">
        <v>8</v>
      </c>
      <c r="O23" t="s">
        <v>1051</v>
      </c>
    </row>
    <row r="24" spans="1:15" x14ac:dyDescent="0.25">
      <c r="A24">
        <v>278</v>
      </c>
      <c r="B24" s="6">
        <v>44998</v>
      </c>
      <c r="C24" s="5" t="s">
        <v>44</v>
      </c>
      <c r="D24" s="5" t="s">
        <v>1</v>
      </c>
      <c r="E24">
        <v>37</v>
      </c>
      <c r="F24" s="5" t="s">
        <v>19</v>
      </c>
      <c r="G24">
        <v>4</v>
      </c>
      <c r="H24">
        <v>25</v>
      </c>
      <c r="I24">
        <v>100</v>
      </c>
      <c r="J24" t="s">
        <v>20</v>
      </c>
      <c r="K24" t="s">
        <v>1028</v>
      </c>
      <c r="L24" t="s">
        <v>1038</v>
      </c>
      <c r="M24" t="s">
        <v>1039</v>
      </c>
      <c r="N24">
        <v>3</v>
      </c>
      <c r="O24" t="s">
        <v>1040</v>
      </c>
    </row>
    <row r="25" spans="1:15" x14ac:dyDescent="0.25">
      <c r="A25">
        <v>287</v>
      </c>
      <c r="B25" s="6">
        <v>44977</v>
      </c>
      <c r="C25" s="5" t="s">
        <v>45</v>
      </c>
      <c r="D25" s="5" t="s">
        <v>2</v>
      </c>
      <c r="E25">
        <v>54</v>
      </c>
      <c r="F25" s="5" t="s">
        <v>19</v>
      </c>
      <c r="G25">
        <v>4</v>
      </c>
      <c r="H25">
        <v>25</v>
      </c>
      <c r="I25">
        <v>100</v>
      </c>
      <c r="J25" t="s">
        <v>20</v>
      </c>
      <c r="K25" t="s">
        <v>1028</v>
      </c>
      <c r="L25" t="s">
        <v>1038</v>
      </c>
      <c r="M25" t="s">
        <v>1039</v>
      </c>
      <c r="N25">
        <v>2</v>
      </c>
      <c r="O25" t="s">
        <v>1044</v>
      </c>
    </row>
    <row r="26" spans="1:15" x14ac:dyDescent="0.25">
      <c r="A26">
        <v>316</v>
      </c>
      <c r="B26" s="6">
        <v>45038</v>
      </c>
      <c r="C26" s="5" t="s">
        <v>46</v>
      </c>
      <c r="D26" s="5" t="s">
        <v>1</v>
      </c>
      <c r="E26">
        <v>48</v>
      </c>
      <c r="F26" s="5" t="s">
        <v>19</v>
      </c>
      <c r="G26">
        <v>2</v>
      </c>
      <c r="H26">
        <v>25</v>
      </c>
      <c r="I26">
        <v>50</v>
      </c>
      <c r="J26" t="s">
        <v>20</v>
      </c>
      <c r="K26" t="s">
        <v>1028</v>
      </c>
      <c r="L26" t="s">
        <v>1038</v>
      </c>
      <c r="M26" t="s">
        <v>1041</v>
      </c>
      <c r="N26">
        <v>4</v>
      </c>
      <c r="O26" t="s">
        <v>1042</v>
      </c>
    </row>
    <row r="27" spans="1:15" x14ac:dyDescent="0.25">
      <c r="A27">
        <v>318</v>
      </c>
      <c r="B27" s="6">
        <v>45223</v>
      </c>
      <c r="C27" s="5" t="s">
        <v>47</v>
      </c>
      <c r="D27" s="5" t="s">
        <v>2</v>
      </c>
      <c r="E27">
        <v>61</v>
      </c>
      <c r="F27" s="5" t="s">
        <v>19</v>
      </c>
      <c r="G27">
        <v>1</v>
      </c>
      <c r="H27">
        <v>25</v>
      </c>
      <c r="I27">
        <v>25</v>
      </c>
      <c r="J27" t="s">
        <v>24</v>
      </c>
      <c r="K27" t="s">
        <v>1030</v>
      </c>
      <c r="L27" t="s">
        <v>1038</v>
      </c>
      <c r="M27" t="s">
        <v>1047</v>
      </c>
      <c r="N27">
        <v>10</v>
      </c>
      <c r="O27" t="s">
        <v>1049</v>
      </c>
    </row>
    <row r="28" spans="1:15" x14ac:dyDescent="0.25">
      <c r="A28">
        <v>326</v>
      </c>
      <c r="B28" s="6">
        <v>45184</v>
      </c>
      <c r="C28" s="5" t="s">
        <v>48</v>
      </c>
      <c r="D28" s="5" t="s">
        <v>1</v>
      </c>
      <c r="E28">
        <v>18</v>
      </c>
      <c r="F28" s="5" t="s">
        <v>19</v>
      </c>
      <c r="G28">
        <v>3</v>
      </c>
      <c r="H28">
        <v>25</v>
      </c>
      <c r="I28">
        <v>75</v>
      </c>
      <c r="J28" t="s">
        <v>22</v>
      </c>
      <c r="K28" t="s">
        <v>1029</v>
      </c>
      <c r="L28" t="s">
        <v>1038</v>
      </c>
      <c r="M28" t="s">
        <v>1033</v>
      </c>
      <c r="N28">
        <v>9</v>
      </c>
      <c r="O28" t="s">
        <v>1043</v>
      </c>
    </row>
    <row r="29" spans="1:15" x14ac:dyDescent="0.25">
      <c r="A29">
        <v>360</v>
      </c>
      <c r="B29" s="6">
        <v>44994</v>
      </c>
      <c r="C29" s="5" t="s">
        <v>49</v>
      </c>
      <c r="D29" s="5" t="s">
        <v>2</v>
      </c>
      <c r="E29">
        <v>42</v>
      </c>
      <c r="F29" s="5" t="s">
        <v>19</v>
      </c>
      <c r="G29">
        <v>4</v>
      </c>
      <c r="H29">
        <v>25</v>
      </c>
      <c r="I29">
        <v>100</v>
      </c>
      <c r="J29" t="s">
        <v>20</v>
      </c>
      <c r="K29" t="s">
        <v>1028</v>
      </c>
      <c r="L29" t="s">
        <v>1038</v>
      </c>
      <c r="M29" t="s">
        <v>1039</v>
      </c>
      <c r="N29">
        <v>3</v>
      </c>
      <c r="O29" t="s">
        <v>1040</v>
      </c>
    </row>
    <row r="30" spans="1:15" x14ac:dyDescent="0.25">
      <c r="A30">
        <v>362</v>
      </c>
      <c r="B30" s="6">
        <v>45257</v>
      </c>
      <c r="C30" s="5" t="s">
        <v>50</v>
      </c>
      <c r="D30" s="5" t="s">
        <v>2</v>
      </c>
      <c r="E30">
        <v>50</v>
      </c>
      <c r="F30" s="5" t="s">
        <v>19</v>
      </c>
      <c r="G30">
        <v>1</v>
      </c>
      <c r="H30">
        <v>25</v>
      </c>
      <c r="I30">
        <v>25</v>
      </c>
      <c r="J30" t="s">
        <v>20</v>
      </c>
      <c r="K30" t="s">
        <v>1028</v>
      </c>
      <c r="L30" t="s">
        <v>1038</v>
      </c>
      <c r="M30" t="s">
        <v>1047</v>
      </c>
      <c r="N30">
        <v>11</v>
      </c>
      <c r="O30" t="s">
        <v>1048</v>
      </c>
    </row>
    <row r="31" spans="1:15" x14ac:dyDescent="0.25">
      <c r="A31">
        <v>379</v>
      </c>
      <c r="B31" s="6">
        <v>44962</v>
      </c>
      <c r="C31" s="5" t="s">
        <v>51</v>
      </c>
      <c r="D31" s="5" t="s">
        <v>1</v>
      </c>
      <c r="E31">
        <v>47</v>
      </c>
      <c r="F31" s="5" t="s">
        <v>19</v>
      </c>
      <c r="G31">
        <v>1</v>
      </c>
      <c r="H31">
        <v>25</v>
      </c>
      <c r="I31">
        <v>25</v>
      </c>
      <c r="J31" t="s">
        <v>20</v>
      </c>
      <c r="K31" t="s">
        <v>1028</v>
      </c>
      <c r="L31" t="s">
        <v>1038</v>
      </c>
      <c r="M31" t="s">
        <v>1039</v>
      </c>
      <c r="N31">
        <v>2</v>
      </c>
      <c r="O31" t="s">
        <v>1044</v>
      </c>
    </row>
    <row r="32" spans="1:15" x14ac:dyDescent="0.25">
      <c r="A32">
        <v>381</v>
      </c>
      <c r="B32" s="6">
        <v>45116</v>
      </c>
      <c r="C32" s="5" t="s">
        <v>52</v>
      </c>
      <c r="D32" s="5" t="s">
        <v>1</v>
      </c>
      <c r="E32">
        <v>44</v>
      </c>
      <c r="F32" s="5" t="s">
        <v>19</v>
      </c>
      <c r="G32">
        <v>4</v>
      </c>
      <c r="H32">
        <v>25</v>
      </c>
      <c r="I32">
        <v>100</v>
      </c>
      <c r="J32" t="s">
        <v>20</v>
      </c>
      <c r="K32" t="s">
        <v>1028</v>
      </c>
      <c r="L32" t="s">
        <v>1038</v>
      </c>
      <c r="M32" t="s">
        <v>1033</v>
      </c>
      <c r="N32">
        <v>7</v>
      </c>
      <c r="O32" t="s">
        <v>1046</v>
      </c>
    </row>
    <row r="33" spans="1:15" x14ac:dyDescent="0.25">
      <c r="A33">
        <v>389</v>
      </c>
      <c r="B33" s="6">
        <v>45261</v>
      </c>
      <c r="C33" s="5" t="s">
        <v>53</v>
      </c>
      <c r="D33" s="5" t="s">
        <v>2</v>
      </c>
      <c r="E33">
        <v>21</v>
      </c>
      <c r="F33" s="5" t="s">
        <v>19</v>
      </c>
      <c r="G33">
        <v>2</v>
      </c>
      <c r="H33">
        <v>25</v>
      </c>
      <c r="I33">
        <v>50</v>
      </c>
      <c r="J33" t="s">
        <v>22</v>
      </c>
      <c r="K33" t="s">
        <v>1029</v>
      </c>
      <c r="L33" t="s">
        <v>1038</v>
      </c>
      <c r="M33" t="s">
        <v>1047</v>
      </c>
      <c r="N33">
        <v>12</v>
      </c>
      <c r="O33" t="s">
        <v>1052</v>
      </c>
    </row>
    <row r="34" spans="1:15" x14ac:dyDescent="0.25">
      <c r="A34">
        <v>423</v>
      </c>
      <c r="B34" s="6">
        <v>44993</v>
      </c>
      <c r="C34" s="5" t="s">
        <v>54</v>
      </c>
      <c r="D34" s="5" t="s">
        <v>1</v>
      </c>
      <c r="E34">
        <v>27</v>
      </c>
      <c r="F34" s="5" t="s">
        <v>19</v>
      </c>
      <c r="G34">
        <v>1</v>
      </c>
      <c r="H34">
        <v>25</v>
      </c>
      <c r="I34">
        <v>25</v>
      </c>
      <c r="J34" t="s">
        <v>22</v>
      </c>
      <c r="K34" t="s">
        <v>1029</v>
      </c>
      <c r="L34" t="s">
        <v>1038</v>
      </c>
      <c r="M34" t="s">
        <v>1039</v>
      </c>
      <c r="N34">
        <v>3</v>
      </c>
      <c r="O34" t="s">
        <v>1040</v>
      </c>
    </row>
    <row r="35" spans="1:15" x14ac:dyDescent="0.25">
      <c r="A35">
        <v>439</v>
      </c>
      <c r="B35" s="6">
        <v>45116</v>
      </c>
      <c r="C35" s="5" t="s">
        <v>55</v>
      </c>
      <c r="D35" s="5" t="s">
        <v>2</v>
      </c>
      <c r="E35">
        <v>50</v>
      </c>
      <c r="F35" s="5" t="s">
        <v>19</v>
      </c>
      <c r="G35">
        <v>3</v>
      </c>
      <c r="H35">
        <v>25</v>
      </c>
      <c r="I35">
        <v>75</v>
      </c>
      <c r="J35" t="s">
        <v>20</v>
      </c>
      <c r="K35" t="s">
        <v>1028</v>
      </c>
      <c r="L35" t="s">
        <v>1038</v>
      </c>
      <c r="M35" t="s">
        <v>1033</v>
      </c>
      <c r="N35">
        <v>7</v>
      </c>
      <c r="O35" t="s">
        <v>1046</v>
      </c>
    </row>
    <row r="36" spans="1:15" x14ac:dyDescent="0.25">
      <c r="A36">
        <v>442</v>
      </c>
      <c r="B36" s="6">
        <v>45002</v>
      </c>
      <c r="C36" s="5" t="s">
        <v>56</v>
      </c>
      <c r="D36" s="5" t="s">
        <v>1</v>
      </c>
      <c r="E36">
        <v>60</v>
      </c>
      <c r="F36" s="5" t="s">
        <v>19</v>
      </c>
      <c r="G36">
        <v>4</v>
      </c>
      <c r="H36">
        <v>25</v>
      </c>
      <c r="I36">
        <v>100</v>
      </c>
      <c r="J36" t="s">
        <v>24</v>
      </c>
      <c r="K36" t="s">
        <v>1030</v>
      </c>
      <c r="L36" t="s">
        <v>1038</v>
      </c>
      <c r="M36" t="s">
        <v>1039</v>
      </c>
      <c r="N36">
        <v>3</v>
      </c>
      <c r="O36" t="s">
        <v>1040</v>
      </c>
    </row>
    <row r="37" spans="1:15" x14ac:dyDescent="0.25">
      <c r="A37">
        <v>475</v>
      </c>
      <c r="B37" s="6">
        <v>44946</v>
      </c>
      <c r="C37" s="5" t="s">
        <v>57</v>
      </c>
      <c r="D37" s="5" t="s">
        <v>2</v>
      </c>
      <c r="E37">
        <v>26</v>
      </c>
      <c r="F37" s="5" t="s">
        <v>19</v>
      </c>
      <c r="G37">
        <v>3</v>
      </c>
      <c r="H37">
        <v>25</v>
      </c>
      <c r="I37">
        <v>75</v>
      </c>
      <c r="J37" t="s">
        <v>22</v>
      </c>
      <c r="K37" t="s">
        <v>1029</v>
      </c>
      <c r="L37" t="s">
        <v>1038</v>
      </c>
      <c r="M37" t="s">
        <v>1039</v>
      </c>
      <c r="N37">
        <v>1</v>
      </c>
      <c r="O37" t="s">
        <v>1045</v>
      </c>
    </row>
    <row r="38" spans="1:15" x14ac:dyDescent="0.25">
      <c r="A38">
        <v>498</v>
      </c>
      <c r="B38" s="6">
        <v>45096</v>
      </c>
      <c r="C38" s="5" t="s">
        <v>58</v>
      </c>
      <c r="D38" s="5" t="s">
        <v>1</v>
      </c>
      <c r="E38">
        <v>50</v>
      </c>
      <c r="F38" s="5" t="s">
        <v>19</v>
      </c>
      <c r="G38">
        <v>4</v>
      </c>
      <c r="H38">
        <v>25</v>
      </c>
      <c r="I38">
        <v>100</v>
      </c>
      <c r="J38" t="s">
        <v>20</v>
      </c>
      <c r="K38" t="s">
        <v>1028</v>
      </c>
      <c r="L38" t="s">
        <v>1038</v>
      </c>
      <c r="M38" t="s">
        <v>1041</v>
      </c>
      <c r="N38">
        <v>6</v>
      </c>
      <c r="O38" t="s">
        <v>1050</v>
      </c>
    </row>
    <row r="39" spans="1:15" x14ac:dyDescent="0.25">
      <c r="A39">
        <v>517</v>
      </c>
      <c r="B39" s="6">
        <v>45024</v>
      </c>
      <c r="C39" s="5" t="s">
        <v>59</v>
      </c>
      <c r="D39" s="5" t="s">
        <v>1</v>
      </c>
      <c r="E39">
        <v>47</v>
      </c>
      <c r="F39" s="5" t="s">
        <v>19</v>
      </c>
      <c r="G39">
        <v>4</v>
      </c>
      <c r="H39">
        <v>25</v>
      </c>
      <c r="I39">
        <v>100</v>
      </c>
      <c r="J39" t="s">
        <v>20</v>
      </c>
      <c r="K39" t="s">
        <v>1028</v>
      </c>
      <c r="L39" t="s">
        <v>1038</v>
      </c>
      <c r="M39" t="s">
        <v>1041</v>
      </c>
      <c r="N39">
        <v>4</v>
      </c>
      <c r="O39" t="s">
        <v>1042</v>
      </c>
    </row>
    <row r="40" spans="1:15" x14ac:dyDescent="0.25">
      <c r="A40">
        <v>527</v>
      </c>
      <c r="B40" s="6">
        <v>45027</v>
      </c>
      <c r="C40" s="5" t="s">
        <v>60</v>
      </c>
      <c r="D40" s="5" t="s">
        <v>2</v>
      </c>
      <c r="E40">
        <v>57</v>
      </c>
      <c r="F40" s="5" t="s">
        <v>19</v>
      </c>
      <c r="G40">
        <v>2</v>
      </c>
      <c r="H40">
        <v>25</v>
      </c>
      <c r="I40">
        <v>50</v>
      </c>
      <c r="J40" t="s">
        <v>24</v>
      </c>
      <c r="K40" t="s">
        <v>1030</v>
      </c>
      <c r="L40" t="s">
        <v>1038</v>
      </c>
      <c r="M40" t="s">
        <v>1041</v>
      </c>
      <c r="N40">
        <v>4</v>
      </c>
      <c r="O40" t="s">
        <v>1042</v>
      </c>
    </row>
    <row r="41" spans="1:15" x14ac:dyDescent="0.25">
      <c r="A41">
        <v>545</v>
      </c>
      <c r="B41" s="6">
        <v>45078</v>
      </c>
      <c r="C41" s="5" t="s">
        <v>61</v>
      </c>
      <c r="D41" s="5" t="s">
        <v>2</v>
      </c>
      <c r="E41">
        <v>27</v>
      </c>
      <c r="F41" s="5" t="s">
        <v>19</v>
      </c>
      <c r="G41">
        <v>2</v>
      </c>
      <c r="H41">
        <v>25</v>
      </c>
      <c r="I41">
        <v>50</v>
      </c>
      <c r="J41" t="s">
        <v>22</v>
      </c>
      <c r="K41" t="s">
        <v>1029</v>
      </c>
      <c r="L41" t="s">
        <v>1038</v>
      </c>
      <c r="M41" t="s">
        <v>1041</v>
      </c>
      <c r="N41">
        <v>6</v>
      </c>
      <c r="O41" t="s">
        <v>1050</v>
      </c>
    </row>
    <row r="42" spans="1:15" x14ac:dyDescent="0.25">
      <c r="A42">
        <v>558</v>
      </c>
      <c r="B42" s="6">
        <v>45207</v>
      </c>
      <c r="C42" s="5" t="s">
        <v>62</v>
      </c>
      <c r="D42" s="5" t="s">
        <v>1</v>
      </c>
      <c r="E42">
        <v>41</v>
      </c>
      <c r="F42" s="5" t="s">
        <v>19</v>
      </c>
      <c r="G42">
        <v>1</v>
      </c>
      <c r="H42">
        <v>25</v>
      </c>
      <c r="I42">
        <v>25</v>
      </c>
      <c r="J42" t="s">
        <v>20</v>
      </c>
      <c r="K42" t="s">
        <v>1028</v>
      </c>
      <c r="L42" t="s">
        <v>1038</v>
      </c>
      <c r="M42" t="s">
        <v>1047</v>
      </c>
      <c r="N42">
        <v>10</v>
      </c>
      <c r="O42" t="s">
        <v>1049</v>
      </c>
    </row>
    <row r="43" spans="1:15" x14ac:dyDescent="0.25">
      <c r="A43">
        <v>585</v>
      </c>
      <c r="B43" s="6">
        <v>45047</v>
      </c>
      <c r="C43" s="5" t="s">
        <v>63</v>
      </c>
      <c r="D43" s="5" t="s">
        <v>1</v>
      </c>
      <c r="E43">
        <v>24</v>
      </c>
      <c r="F43" s="5" t="s">
        <v>19</v>
      </c>
      <c r="G43">
        <v>1</v>
      </c>
      <c r="H43">
        <v>25</v>
      </c>
      <c r="I43">
        <v>25</v>
      </c>
      <c r="J43" t="s">
        <v>22</v>
      </c>
      <c r="K43" t="s">
        <v>1029</v>
      </c>
      <c r="L43" t="s">
        <v>1038</v>
      </c>
      <c r="M43" t="s">
        <v>1041</v>
      </c>
      <c r="N43">
        <v>5</v>
      </c>
      <c r="O43" t="s">
        <v>1032</v>
      </c>
    </row>
    <row r="44" spans="1:15" x14ac:dyDescent="0.25">
      <c r="A44">
        <v>607</v>
      </c>
      <c r="B44" s="6">
        <v>45002</v>
      </c>
      <c r="C44" s="5" t="s">
        <v>64</v>
      </c>
      <c r="D44" s="5" t="s">
        <v>2</v>
      </c>
      <c r="E44">
        <v>54</v>
      </c>
      <c r="F44" s="5" t="s">
        <v>19</v>
      </c>
      <c r="G44">
        <v>3</v>
      </c>
      <c r="H44">
        <v>25</v>
      </c>
      <c r="I44">
        <v>75</v>
      </c>
      <c r="J44" t="s">
        <v>20</v>
      </c>
      <c r="K44" t="s">
        <v>1028</v>
      </c>
      <c r="L44" t="s">
        <v>1038</v>
      </c>
      <c r="M44" t="s">
        <v>1039</v>
      </c>
      <c r="N44">
        <v>3</v>
      </c>
      <c r="O44" t="s">
        <v>1040</v>
      </c>
    </row>
    <row r="45" spans="1:15" x14ac:dyDescent="0.25">
      <c r="A45">
        <v>615</v>
      </c>
      <c r="B45" s="6">
        <v>45283</v>
      </c>
      <c r="C45" s="5" t="s">
        <v>65</v>
      </c>
      <c r="D45" s="5" t="s">
        <v>1</v>
      </c>
      <c r="E45">
        <v>61</v>
      </c>
      <c r="F45" s="5" t="s">
        <v>19</v>
      </c>
      <c r="G45">
        <v>4</v>
      </c>
      <c r="H45">
        <v>25</v>
      </c>
      <c r="I45">
        <v>100</v>
      </c>
      <c r="J45" t="s">
        <v>24</v>
      </c>
      <c r="K45" t="s">
        <v>1030</v>
      </c>
      <c r="L45" t="s">
        <v>1038</v>
      </c>
      <c r="M45" t="s">
        <v>1047</v>
      </c>
      <c r="N45">
        <v>12</v>
      </c>
      <c r="O45" t="s">
        <v>1052</v>
      </c>
    </row>
    <row r="46" spans="1:15" x14ac:dyDescent="0.25">
      <c r="A46">
        <v>642</v>
      </c>
      <c r="B46" s="6">
        <v>45068</v>
      </c>
      <c r="C46" s="5" t="s">
        <v>66</v>
      </c>
      <c r="D46" s="5" t="s">
        <v>1</v>
      </c>
      <c r="E46">
        <v>54</v>
      </c>
      <c r="F46" s="5" t="s">
        <v>19</v>
      </c>
      <c r="G46">
        <v>4</v>
      </c>
      <c r="H46">
        <v>25</v>
      </c>
      <c r="I46">
        <v>100</v>
      </c>
      <c r="J46" t="s">
        <v>20</v>
      </c>
      <c r="K46" t="s">
        <v>1028</v>
      </c>
      <c r="L46" t="s">
        <v>1038</v>
      </c>
      <c r="M46" t="s">
        <v>1041</v>
      </c>
      <c r="N46">
        <v>5</v>
      </c>
      <c r="O46" t="s">
        <v>1032</v>
      </c>
    </row>
    <row r="47" spans="1:15" x14ac:dyDescent="0.25">
      <c r="A47">
        <v>653</v>
      </c>
      <c r="B47" s="6">
        <v>45066</v>
      </c>
      <c r="C47" s="5" t="s">
        <v>67</v>
      </c>
      <c r="D47" s="5" t="s">
        <v>2</v>
      </c>
      <c r="E47">
        <v>54</v>
      </c>
      <c r="F47" s="5" t="s">
        <v>19</v>
      </c>
      <c r="G47">
        <v>3</v>
      </c>
      <c r="H47">
        <v>25</v>
      </c>
      <c r="I47">
        <v>75</v>
      </c>
      <c r="J47" t="s">
        <v>20</v>
      </c>
      <c r="K47" t="s">
        <v>1028</v>
      </c>
      <c r="L47" t="s">
        <v>1038</v>
      </c>
      <c r="M47" t="s">
        <v>1041</v>
      </c>
      <c r="N47">
        <v>5</v>
      </c>
      <c r="O47" t="s">
        <v>1032</v>
      </c>
    </row>
    <row r="48" spans="1:15" x14ac:dyDescent="0.25">
      <c r="A48">
        <v>654</v>
      </c>
      <c r="B48" s="6">
        <v>45098</v>
      </c>
      <c r="C48" s="5" t="s">
        <v>68</v>
      </c>
      <c r="D48" s="5" t="s">
        <v>2</v>
      </c>
      <c r="E48">
        <v>42</v>
      </c>
      <c r="F48" s="5" t="s">
        <v>19</v>
      </c>
      <c r="G48">
        <v>3</v>
      </c>
      <c r="H48">
        <v>25</v>
      </c>
      <c r="I48">
        <v>75</v>
      </c>
      <c r="J48" t="s">
        <v>20</v>
      </c>
      <c r="K48" t="s">
        <v>1028</v>
      </c>
      <c r="L48" t="s">
        <v>1038</v>
      </c>
      <c r="M48" t="s">
        <v>1041</v>
      </c>
      <c r="N48">
        <v>6</v>
      </c>
      <c r="O48" t="s">
        <v>1050</v>
      </c>
    </row>
    <row r="49" spans="1:15" x14ac:dyDescent="0.25">
      <c r="A49">
        <v>657</v>
      </c>
      <c r="B49" s="6">
        <v>44968</v>
      </c>
      <c r="C49" s="5" t="s">
        <v>69</v>
      </c>
      <c r="D49" s="5" t="s">
        <v>2</v>
      </c>
      <c r="E49">
        <v>40</v>
      </c>
      <c r="F49" s="5" t="s">
        <v>19</v>
      </c>
      <c r="G49">
        <v>1</v>
      </c>
      <c r="H49">
        <v>25</v>
      </c>
      <c r="I49">
        <v>25</v>
      </c>
      <c r="J49" t="s">
        <v>20</v>
      </c>
      <c r="K49" t="s">
        <v>1028</v>
      </c>
      <c r="L49" t="s">
        <v>1038</v>
      </c>
      <c r="M49" t="s">
        <v>1039</v>
      </c>
      <c r="N49">
        <v>2</v>
      </c>
      <c r="O49" t="s">
        <v>1044</v>
      </c>
    </row>
    <row r="50" spans="1:15" x14ac:dyDescent="0.25">
      <c r="A50">
        <v>658</v>
      </c>
      <c r="B50" s="6">
        <v>44997</v>
      </c>
      <c r="C50" s="5" t="s">
        <v>70</v>
      </c>
      <c r="D50" s="5" t="s">
        <v>2</v>
      </c>
      <c r="E50">
        <v>59</v>
      </c>
      <c r="F50" s="5" t="s">
        <v>19</v>
      </c>
      <c r="G50">
        <v>1</v>
      </c>
      <c r="H50">
        <v>25</v>
      </c>
      <c r="I50">
        <v>25</v>
      </c>
      <c r="J50" t="s">
        <v>24</v>
      </c>
      <c r="K50" t="s">
        <v>1030</v>
      </c>
      <c r="L50" t="s">
        <v>1038</v>
      </c>
      <c r="M50" t="s">
        <v>1039</v>
      </c>
      <c r="N50">
        <v>3</v>
      </c>
      <c r="O50" t="s">
        <v>1040</v>
      </c>
    </row>
    <row r="51" spans="1:15" x14ac:dyDescent="0.25">
      <c r="A51">
        <v>661</v>
      </c>
      <c r="B51" s="6">
        <v>45123</v>
      </c>
      <c r="C51" s="5" t="s">
        <v>71</v>
      </c>
      <c r="D51" s="5" t="s">
        <v>1</v>
      </c>
      <c r="E51">
        <v>44</v>
      </c>
      <c r="F51" s="5" t="s">
        <v>19</v>
      </c>
      <c r="G51">
        <v>4</v>
      </c>
      <c r="H51">
        <v>25</v>
      </c>
      <c r="I51">
        <v>100</v>
      </c>
      <c r="J51" t="s">
        <v>20</v>
      </c>
      <c r="K51" t="s">
        <v>1028</v>
      </c>
      <c r="L51" t="s">
        <v>1038</v>
      </c>
      <c r="M51" t="s">
        <v>1033</v>
      </c>
      <c r="N51">
        <v>7</v>
      </c>
      <c r="O51" t="s">
        <v>1046</v>
      </c>
    </row>
    <row r="52" spans="1:15" x14ac:dyDescent="0.25">
      <c r="A52">
        <v>688</v>
      </c>
      <c r="B52" s="6">
        <v>45202</v>
      </c>
      <c r="C52" s="5" t="s">
        <v>72</v>
      </c>
      <c r="D52" s="5" t="s">
        <v>2</v>
      </c>
      <c r="E52">
        <v>56</v>
      </c>
      <c r="F52" s="5" t="s">
        <v>19</v>
      </c>
      <c r="G52">
        <v>4</v>
      </c>
      <c r="H52">
        <v>25</v>
      </c>
      <c r="I52">
        <v>100</v>
      </c>
      <c r="J52" t="s">
        <v>24</v>
      </c>
      <c r="K52" t="s">
        <v>1030</v>
      </c>
      <c r="L52" t="s">
        <v>1038</v>
      </c>
      <c r="M52" t="s">
        <v>1047</v>
      </c>
      <c r="N52">
        <v>10</v>
      </c>
      <c r="O52" t="s">
        <v>1049</v>
      </c>
    </row>
    <row r="53" spans="1:15" x14ac:dyDescent="0.25">
      <c r="A53">
        <v>730</v>
      </c>
      <c r="B53" s="6">
        <v>45142</v>
      </c>
      <c r="C53" s="5" t="s">
        <v>73</v>
      </c>
      <c r="D53" s="5" t="s">
        <v>1</v>
      </c>
      <c r="E53">
        <v>36</v>
      </c>
      <c r="F53" s="5" t="s">
        <v>19</v>
      </c>
      <c r="G53">
        <v>2</v>
      </c>
      <c r="H53">
        <v>25</v>
      </c>
      <c r="I53">
        <v>50</v>
      </c>
      <c r="J53" t="s">
        <v>20</v>
      </c>
      <c r="K53" t="s">
        <v>1028</v>
      </c>
      <c r="L53" t="s">
        <v>1038</v>
      </c>
      <c r="M53" t="s">
        <v>1033</v>
      </c>
      <c r="N53">
        <v>8</v>
      </c>
      <c r="O53" t="s">
        <v>1051</v>
      </c>
    </row>
    <row r="54" spans="1:15" x14ac:dyDescent="0.25">
      <c r="A54">
        <v>736</v>
      </c>
      <c r="B54" s="6">
        <v>44953</v>
      </c>
      <c r="C54" s="5" t="s">
        <v>74</v>
      </c>
      <c r="D54" s="5" t="s">
        <v>2</v>
      </c>
      <c r="E54">
        <v>29</v>
      </c>
      <c r="F54" s="5" t="s">
        <v>19</v>
      </c>
      <c r="G54">
        <v>4</v>
      </c>
      <c r="H54">
        <v>25</v>
      </c>
      <c r="I54">
        <v>100</v>
      </c>
      <c r="J54" t="s">
        <v>22</v>
      </c>
      <c r="K54" t="s">
        <v>1029</v>
      </c>
      <c r="L54" t="s">
        <v>1038</v>
      </c>
      <c r="M54" t="s">
        <v>1039</v>
      </c>
      <c r="N54">
        <v>1</v>
      </c>
      <c r="O54" t="s">
        <v>1045</v>
      </c>
    </row>
    <row r="55" spans="1:15" x14ac:dyDescent="0.25">
      <c r="A55">
        <v>750</v>
      </c>
      <c r="B55" s="6">
        <v>44991</v>
      </c>
      <c r="C55" s="5" t="s">
        <v>75</v>
      </c>
      <c r="D55" s="5" t="s">
        <v>1</v>
      </c>
      <c r="E55">
        <v>35</v>
      </c>
      <c r="F55" s="5" t="s">
        <v>19</v>
      </c>
      <c r="G55">
        <v>3</v>
      </c>
      <c r="H55">
        <v>25</v>
      </c>
      <c r="I55">
        <v>75</v>
      </c>
      <c r="J55" t="s">
        <v>20</v>
      </c>
      <c r="K55" t="s">
        <v>1028</v>
      </c>
      <c r="L55" t="s">
        <v>1038</v>
      </c>
      <c r="M55" t="s">
        <v>1039</v>
      </c>
      <c r="N55">
        <v>3</v>
      </c>
      <c r="O55" t="s">
        <v>1040</v>
      </c>
    </row>
    <row r="56" spans="1:15" x14ac:dyDescent="0.25">
      <c r="A56">
        <v>751</v>
      </c>
      <c r="B56" s="6">
        <v>45169</v>
      </c>
      <c r="C56" s="5" t="s">
        <v>76</v>
      </c>
      <c r="D56" s="5" t="s">
        <v>1</v>
      </c>
      <c r="E56">
        <v>42</v>
      </c>
      <c r="F56" s="5" t="s">
        <v>19</v>
      </c>
      <c r="G56">
        <v>2</v>
      </c>
      <c r="H56">
        <v>25</v>
      </c>
      <c r="I56">
        <v>50</v>
      </c>
      <c r="J56" t="s">
        <v>20</v>
      </c>
      <c r="K56" t="s">
        <v>1028</v>
      </c>
      <c r="L56" t="s">
        <v>1038</v>
      </c>
      <c r="M56" t="s">
        <v>1033</v>
      </c>
      <c r="N56">
        <v>8</v>
      </c>
      <c r="O56" t="s">
        <v>1051</v>
      </c>
    </row>
    <row r="57" spans="1:15" x14ac:dyDescent="0.25">
      <c r="A57">
        <v>755</v>
      </c>
      <c r="B57" s="6">
        <v>45038</v>
      </c>
      <c r="C57" s="5" t="s">
        <v>77</v>
      </c>
      <c r="D57" s="5" t="s">
        <v>1</v>
      </c>
      <c r="E57">
        <v>58</v>
      </c>
      <c r="F57" s="5" t="s">
        <v>19</v>
      </c>
      <c r="G57">
        <v>3</v>
      </c>
      <c r="H57">
        <v>25</v>
      </c>
      <c r="I57">
        <v>75</v>
      </c>
      <c r="J57" t="s">
        <v>24</v>
      </c>
      <c r="K57" t="s">
        <v>1030</v>
      </c>
      <c r="L57" t="s">
        <v>1038</v>
      </c>
      <c r="M57" t="s">
        <v>1041</v>
      </c>
      <c r="N57">
        <v>4</v>
      </c>
      <c r="O57" t="s">
        <v>1042</v>
      </c>
    </row>
    <row r="58" spans="1:15" x14ac:dyDescent="0.25">
      <c r="A58">
        <v>758</v>
      </c>
      <c r="B58" s="6">
        <v>45058</v>
      </c>
      <c r="C58" s="5" t="s">
        <v>78</v>
      </c>
      <c r="D58" s="5" t="s">
        <v>2</v>
      </c>
      <c r="E58">
        <v>64</v>
      </c>
      <c r="F58" s="5" t="s">
        <v>19</v>
      </c>
      <c r="G58">
        <v>4</v>
      </c>
      <c r="H58">
        <v>25</v>
      </c>
      <c r="I58">
        <v>100</v>
      </c>
      <c r="J58" t="s">
        <v>24</v>
      </c>
      <c r="K58" t="s">
        <v>1030</v>
      </c>
      <c r="L58" t="s">
        <v>1038</v>
      </c>
      <c r="M58" t="s">
        <v>1041</v>
      </c>
      <c r="N58">
        <v>5</v>
      </c>
      <c r="O58" t="s">
        <v>1032</v>
      </c>
    </row>
    <row r="59" spans="1:15" x14ac:dyDescent="0.25">
      <c r="A59">
        <v>763</v>
      </c>
      <c r="B59" s="6">
        <v>44985</v>
      </c>
      <c r="C59" s="5" t="s">
        <v>79</v>
      </c>
      <c r="D59" s="5" t="s">
        <v>2</v>
      </c>
      <c r="E59">
        <v>34</v>
      </c>
      <c r="F59" s="5" t="s">
        <v>19</v>
      </c>
      <c r="G59">
        <v>2</v>
      </c>
      <c r="H59">
        <v>25</v>
      </c>
      <c r="I59">
        <v>50</v>
      </c>
      <c r="J59" t="s">
        <v>20</v>
      </c>
      <c r="K59" t="s">
        <v>1028</v>
      </c>
      <c r="L59" t="s">
        <v>1038</v>
      </c>
      <c r="M59" t="s">
        <v>1039</v>
      </c>
      <c r="N59">
        <v>2</v>
      </c>
      <c r="O59" t="s">
        <v>1044</v>
      </c>
    </row>
    <row r="60" spans="1:15" x14ac:dyDescent="0.25">
      <c r="A60">
        <v>764</v>
      </c>
      <c r="B60" s="6">
        <v>45010</v>
      </c>
      <c r="C60" s="5" t="s">
        <v>80</v>
      </c>
      <c r="D60" s="5" t="s">
        <v>1</v>
      </c>
      <c r="E60">
        <v>40</v>
      </c>
      <c r="F60" s="5" t="s">
        <v>19</v>
      </c>
      <c r="G60">
        <v>1</v>
      </c>
      <c r="H60">
        <v>25</v>
      </c>
      <c r="I60">
        <v>25</v>
      </c>
      <c r="J60" t="s">
        <v>20</v>
      </c>
      <c r="K60" t="s">
        <v>1028</v>
      </c>
      <c r="L60" t="s">
        <v>1038</v>
      </c>
      <c r="M60" t="s">
        <v>1039</v>
      </c>
      <c r="N60">
        <v>3</v>
      </c>
      <c r="O60" t="s">
        <v>1040</v>
      </c>
    </row>
    <row r="61" spans="1:15" x14ac:dyDescent="0.25">
      <c r="A61">
        <v>774</v>
      </c>
      <c r="B61" s="6">
        <v>45028</v>
      </c>
      <c r="C61" s="5" t="s">
        <v>81</v>
      </c>
      <c r="D61" s="5" t="s">
        <v>1</v>
      </c>
      <c r="E61">
        <v>40</v>
      </c>
      <c r="F61" s="5" t="s">
        <v>19</v>
      </c>
      <c r="G61">
        <v>2</v>
      </c>
      <c r="H61">
        <v>25</v>
      </c>
      <c r="I61">
        <v>50</v>
      </c>
      <c r="J61" t="s">
        <v>20</v>
      </c>
      <c r="K61" t="s">
        <v>1028</v>
      </c>
      <c r="L61" t="s">
        <v>1038</v>
      </c>
      <c r="M61" t="s">
        <v>1041</v>
      </c>
      <c r="N61">
        <v>4</v>
      </c>
      <c r="O61" t="s">
        <v>1042</v>
      </c>
    </row>
    <row r="62" spans="1:15" x14ac:dyDescent="0.25">
      <c r="A62">
        <v>786</v>
      </c>
      <c r="B62" s="6">
        <v>45216</v>
      </c>
      <c r="C62" s="5" t="s">
        <v>82</v>
      </c>
      <c r="D62" s="5" t="s">
        <v>2</v>
      </c>
      <c r="E62">
        <v>48</v>
      </c>
      <c r="F62" s="5" t="s">
        <v>19</v>
      </c>
      <c r="G62">
        <v>4</v>
      </c>
      <c r="H62">
        <v>25</v>
      </c>
      <c r="I62">
        <v>100</v>
      </c>
      <c r="J62" t="s">
        <v>20</v>
      </c>
      <c r="K62" t="s">
        <v>1028</v>
      </c>
      <c r="L62" t="s">
        <v>1038</v>
      </c>
      <c r="M62" t="s">
        <v>1047</v>
      </c>
      <c r="N62">
        <v>10</v>
      </c>
      <c r="O62" t="s">
        <v>1049</v>
      </c>
    </row>
    <row r="63" spans="1:15" x14ac:dyDescent="0.25">
      <c r="A63">
        <v>790</v>
      </c>
      <c r="B63" s="6">
        <v>45146</v>
      </c>
      <c r="C63" s="5" t="s">
        <v>83</v>
      </c>
      <c r="D63" s="5" t="s">
        <v>2</v>
      </c>
      <c r="E63">
        <v>62</v>
      </c>
      <c r="F63" s="5" t="s">
        <v>19</v>
      </c>
      <c r="G63">
        <v>1</v>
      </c>
      <c r="H63">
        <v>25</v>
      </c>
      <c r="I63">
        <v>25</v>
      </c>
      <c r="J63" t="s">
        <v>24</v>
      </c>
      <c r="K63" t="s">
        <v>1030</v>
      </c>
      <c r="L63" t="s">
        <v>1038</v>
      </c>
      <c r="M63" t="s">
        <v>1033</v>
      </c>
      <c r="N63">
        <v>8</v>
      </c>
      <c r="O63" t="s">
        <v>1051</v>
      </c>
    </row>
    <row r="64" spans="1:15" x14ac:dyDescent="0.25">
      <c r="A64">
        <v>797</v>
      </c>
      <c r="B64" s="6">
        <v>44933</v>
      </c>
      <c r="C64" s="5" t="s">
        <v>84</v>
      </c>
      <c r="D64" s="5" t="s">
        <v>2</v>
      </c>
      <c r="E64">
        <v>40</v>
      </c>
      <c r="F64" s="5" t="s">
        <v>19</v>
      </c>
      <c r="G64">
        <v>3</v>
      </c>
      <c r="H64">
        <v>25</v>
      </c>
      <c r="I64">
        <v>75</v>
      </c>
      <c r="J64" t="s">
        <v>20</v>
      </c>
      <c r="K64" t="s">
        <v>1028</v>
      </c>
      <c r="L64" t="s">
        <v>1038</v>
      </c>
      <c r="M64" t="s">
        <v>1039</v>
      </c>
      <c r="N64">
        <v>1</v>
      </c>
      <c r="O64" t="s">
        <v>1045</v>
      </c>
    </row>
    <row r="65" spans="1:15" x14ac:dyDescent="0.25">
      <c r="A65">
        <v>803</v>
      </c>
      <c r="B65" s="6">
        <v>45252</v>
      </c>
      <c r="C65" s="5" t="s">
        <v>85</v>
      </c>
      <c r="D65" s="5" t="s">
        <v>2</v>
      </c>
      <c r="E65">
        <v>39</v>
      </c>
      <c r="F65" s="5" t="s">
        <v>19</v>
      </c>
      <c r="G65">
        <v>4</v>
      </c>
      <c r="H65">
        <v>25</v>
      </c>
      <c r="I65">
        <v>100</v>
      </c>
      <c r="J65" t="s">
        <v>20</v>
      </c>
      <c r="K65" t="s">
        <v>1028</v>
      </c>
      <c r="L65" t="s">
        <v>1038</v>
      </c>
      <c r="M65" t="s">
        <v>1047</v>
      </c>
      <c r="N65">
        <v>11</v>
      </c>
      <c r="O65" t="s">
        <v>1048</v>
      </c>
    </row>
    <row r="66" spans="1:15" x14ac:dyDescent="0.25">
      <c r="A66">
        <v>815</v>
      </c>
      <c r="B66" s="6">
        <v>45165</v>
      </c>
      <c r="C66" s="5" t="s">
        <v>86</v>
      </c>
      <c r="D66" s="5" t="s">
        <v>1</v>
      </c>
      <c r="E66">
        <v>51</v>
      </c>
      <c r="F66" s="5" t="s">
        <v>19</v>
      </c>
      <c r="G66">
        <v>3</v>
      </c>
      <c r="H66">
        <v>25</v>
      </c>
      <c r="I66">
        <v>75</v>
      </c>
      <c r="J66" t="s">
        <v>20</v>
      </c>
      <c r="K66" t="s">
        <v>1028</v>
      </c>
      <c r="L66" t="s">
        <v>1038</v>
      </c>
      <c r="M66" t="s">
        <v>1033</v>
      </c>
      <c r="N66">
        <v>8</v>
      </c>
      <c r="O66" t="s">
        <v>1051</v>
      </c>
    </row>
    <row r="67" spans="1:15" x14ac:dyDescent="0.25">
      <c r="A67">
        <v>840</v>
      </c>
      <c r="B67" s="6">
        <v>45070</v>
      </c>
      <c r="C67" s="5" t="s">
        <v>87</v>
      </c>
      <c r="D67" s="5" t="s">
        <v>2</v>
      </c>
      <c r="E67">
        <v>62</v>
      </c>
      <c r="F67" s="5" t="s">
        <v>19</v>
      </c>
      <c r="G67">
        <v>2</v>
      </c>
      <c r="H67">
        <v>25</v>
      </c>
      <c r="I67">
        <v>50</v>
      </c>
      <c r="J67" t="s">
        <v>24</v>
      </c>
      <c r="K67" t="s">
        <v>1030</v>
      </c>
      <c r="L67" t="s">
        <v>1038</v>
      </c>
      <c r="M67" t="s">
        <v>1041</v>
      </c>
      <c r="N67">
        <v>5</v>
      </c>
      <c r="O67" t="s">
        <v>1032</v>
      </c>
    </row>
    <row r="68" spans="1:15" x14ac:dyDescent="0.25">
      <c r="A68">
        <v>848</v>
      </c>
      <c r="B68" s="6">
        <v>44970</v>
      </c>
      <c r="C68" s="5" t="s">
        <v>88</v>
      </c>
      <c r="D68" s="5" t="s">
        <v>1</v>
      </c>
      <c r="E68">
        <v>63</v>
      </c>
      <c r="F68" s="5" t="s">
        <v>19</v>
      </c>
      <c r="G68">
        <v>3</v>
      </c>
      <c r="H68">
        <v>25</v>
      </c>
      <c r="I68">
        <v>75</v>
      </c>
      <c r="J68" t="s">
        <v>24</v>
      </c>
      <c r="K68" t="s">
        <v>1030</v>
      </c>
      <c r="L68" t="s">
        <v>1038</v>
      </c>
      <c r="M68" t="s">
        <v>1039</v>
      </c>
      <c r="N68">
        <v>2</v>
      </c>
      <c r="O68" t="s">
        <v>1044</v>
      </c>
    </row>
    <row r="69" spans="1:15" x14ac:dyDescent="0.25">
      <c r="A69">
        <v>849</v>
      </c>
      <c r="B69" s="6">
        <v>45050</v>
      </c>
      <c r="C69" s="5" t="s">
        <v>89</v>
      </c>
      <c r="D69" s="5" t="s">
        <v>2</v>
      </c>
      <c r="E69">
        <v>32</v>
      </c>
      <c r="F69" s="5" t="s">
        <v>19</v>
      </c>
      <c r="G69">
        <v>2</v>
      </c>
      <c r="H69">
        <v>25</v>
      </c>
      <c r="I69">
        <v>50</v>
      </c>
      <c r="J69" t="s">
        <v>20</v>
      </c>
      <c r="K69" t="s">
        <v>1028</v>
      </c>
      <c r="L69" t="s">
        <v>1038</v>
      </c>
      <c r="M69" t="s">
        <v>1041</v>
      </c>
      <c r="N69">
        <v>5</v>
      </c>
      <c r="O69" t="s">
        <v>1032</v>
      </c>
    </row>
    <row r="70" spans="1:15" x14ac:dyDescent="0.25">
      <c r="A70">
        <v>877</v>
      </c>
      <c r="B70" s="6">
        <v>45096</v>
      </c>
      <c r="C70" s="5" t="s">
        <v>90</v>
      </c>
      <c r="D70" s="5" t="s">
        <v>1</v>
      </c>
      <c r="E70">
        <v>58</v>
      </c>
      <c r="F70" s="5" t="s">
        <v>19</v>
      </c>
      <c r="G70">
        <v>1</v>
      </c>
      <c r="H70">
        <v>25</v>
      </c>
      <c r="I70">
        <v>25</v>
      </c>
      <c r="J70" t="s">
        <v>24</v>
      </c>
      <c r="K70" t="s">
        <v>1030</v>
      </c>
      <c r="L70" t="s">
        <v>1038</v>
      </c>
      <c r="M70" t="s">
        <v>1041</v>
      </c>
      <c r="N70">
        <v>6</v>
      </c>
      <c r="O70" t="s">
        <v>1050</v>
      </c>
    </row>
    <row r="71" spans="1:15" x14ac:dyDescent="0.25">
      <c r="A71">
        <v>887</v>
      </c>
      <c r="B71" s="6">
        <v>45088</v>
      </c>
      <c r="C71" s="5" t="s">
        <v>91</v>
      </c>
      <c r="D71" s="5" t="s">
        <v>2</v>
      </c>
      <c r="E71">
        <v>59</v>
      </c>
      <c r="F71" s="5" t="s">
        <v>19</v>
      </c>
      <c r="G71">
        <v>4</v>
      </c>
      <c r="H71">
        <v>25</v>
      </c>
      <c r="I71">
        <v>100</v>
      </c>
      <c r="J71" t="s">
        <v>24</v>
      </c>
      <c r="K71" t="s">
        <v>1030</v>
      </c>
      <c r="L71" t="s">
        <v>1038</v>
      </c>
      <c r="M71" t="s">
        <v>1041</v>
      </c>
      <c r="N71">
        <v>6</v>
      </c>
      <c r="O71" t="s">
        <v>1050</v>
      </c>
    </row>
    <row r="72" spans="1:15" x14ac:dyDescent="0.25">
      <c r="A72">
        <v>941</v>
      </c>
      <c r="B72" s="6">
        <v>45004</v>
      </c>
      <c r="C72" s="5" t="s">
        <v>92</v>
      </c>
      <c r="D72" s="5" t="s">
        <v>1</v>
      </c>
      <c r="E72">
        <v>57</v>
      </c>
      <c r="F72" s="5" t="s">
        <v>19</v>
      </c>
      <c r="G72">
        <v>2</v>
      </c>
      <c r="H72">
        <v>25</v>
      </c>
      <c r="I72">
        <v>50</v>
      </c>
      <c r="J72" t="s">
        <v>24</v>
      </c>
      <c r="K72" t="s">
        <v>1030</v>
      </c>
      <c r="L72" t="s">
        <v>1038</v>
      </c>
      <c r="M72" t="s">
        <v>1039</v>
      </c>
      <c r="N72">
        <v>3</v>
      </c>
      <c r="O72" t="s">
        <v>1040</v>
      </c>
    </row>
    <row r="73" spans="1:15" x14ac:dyDescent="0.25">
      <c r="A73">
        <v>944</v>
      </c>
      <c r="B73" s="6">
        <v>45082</v>
      </c>
      <c r="C73" s="5" t="s">
        <v>93</v>
      </c>
      <c r="D73" s="5" t="s">
        <v>2</v>
      </c>
      <c r="E73">
        <v>44</v>
      </c>
      <c r="F73" s="5" t="s">
        <v>19</v>
      </c>
      <c r="G73">
        <v>2</v>
      </c>
      <c r="H73">
        <v>25</v>
      </c>
      <c r="I73">
        <v>50</v>
      </c>
      <c r="J73" t="s">
        <v>20</v>
      </c>
      <c r="K73" t="s">
        <v>1028</v>
      </c>
      <c r="L73" t="s">
        <v>1038</v>
      </c>
      <c r="M73" t="s">
        <v>1041</v>
      </c>
      <c r="N73">
        <v>6</v>
      </c>
      <c r="O73" t="s">
        <v>1050</v>
      </c>
    </row>
    <row r="74" spans="1:15" x14ac:dyDescent="0.25">
      <c r="A74">
        <v>952</v>
      </c>
      <c r="B74" s="6">
        <v>45243</v>
      </c>
      <c r="C74" s="5" t="s">
        <v>94</v>
      </c>
      <c r="D74" s="5" t="s">
        <v>1</v>
      </c>
      <c r="E74">
        <v>57</v>
      </c>
      <c r="F74" s="5" t="s">
        <v>19</v>
      </c>
      <c r="G74">
        <v>1</v>
      </c>
      <c r="H74">
        <v>25</v>
      </c>
      <c r="I74">
        <v>25</v>
      </c>
      <c r="J74" t="s">
        <v>24</v>
      </c>
      <c r="K74" t="s">
        <v>1030</v>
      </c>
      <c r="L74" t="s">
        <v>1038</v>
      </c>
      <c r="M74" t="s">
        <v>1047</v>
      </c>
      <c r="N74">
        <v>11</v>
      </c>
      <c r="O74" t="s">
        <v>1048</v>
      </c>
    </row>
    <row r="75" spans="1:15" x14ac:dyDescent="0.25">
      <c r="A75">
        <v>955</v>
      </c>
      <c r="B75" s="6">
        <v>45121</v>
      </c>
      <c r="C75" s="5" t="s">
        <v>95</v>
      </c>
      <c r="D75" s="5" t="s">
        <v>2</v>
      </c>
      <c r="E75">
        <v>58</v>
      </c>
      <c r="F75" s="5" t="s">
        <v>19</v>
      </c>
      <c r="G75">
        <v>1</v>
      </c>
      <c r="H75">
        <v>25</v>
      </c>
      <c r="I75">
        <v>25</v>
      </c>
      <c r="J75" t="s">
        <v>24</v>
      </c>
      <c r="K75" t="s">
        <v>1030</v>
      </c>
      <c r="L75" t="s">
        <v>1038</v>
      </c>
      <c r="M75" t="s">
        <v>1033</v>
      </c>
      <c r="N75">
        <v>7</v>
      </c>
      <c r="O75" t="s">
        <v>1046</v>
      </c>
    </row>
    <row r="76" spans="1:15" x14ac:dyDescent="0.25">
      <c r="A76">
        <v>988</v>
      </c>
      <c r="B76" s="6">
        <v>45074</v>
      </c>
      <c r="C76" s="5" t="s">
        <v>96</v>
      </c>
      <c r="D76" s="5" t="s">
        <v>1</v>
      </c>
      <c r="E76">
        <v>63</v>
      </c>
      <c r="F76" s="5" t="s">
        <v>19</v>
      </c>
      <c r="G76">
        <v>3</v>
      </c>
      <c r="H76">
        <v>25</v>
      </c>
      <c r="I76">
        <v>75</v>
      </c>
      <c r="J76" t="s">
        <v>24</v>
      </c>
      <c r="K76" t="s">
        <v>1030</v>
      </c>
      <c r="L76" t="s">
        <v>1038</v>
      </c>
      <c r="M76" t="s">
        <v>1041</v>
      </c>
      <c r="N76">
        <v>5</v>
      </c>
      <c r="O76" t="s">
        <v>1032</v>
      </c>
    </row>
    <row r="77" spans="1:15" x14ac:dyDescent="0.25">
      <c r="A77">
        <v>10</v>
      </c>
      <c r="B77" s="6">
        <v>45206</v>
      </c>
      <c r="C77" s="5" t="s">
        <v>97</v>
      </c>
      <c r="D77" s="5" t="s">
        <v>1</v>
      </c>
      <c r="E77">
        <v>52</v>
      </c>
      <c r="F77" s="5" t="s">
        <v>19</v>
      </c>
      <c r="G77">
        <v>4</v>
      </c>
      <c r="H77">
        <v>50</v>
      </c>
      <c r="I77">
        <v>200</v>
      </c>
      <c r="J77" t="s">
        <v>20</v>
      </c>
      <c r="K77" t="s">
        <v>1028</v>
      </c>
      <c r="L77" t="s">
        <v>1038</v>
      </c>
      <c r="M77" t="s">
        <v>1047</v>
      </c>
      <c r="N77">
        <v>10</v>
      </c>
      <c r="O77" t="s">
        <v>1049</v>
      </c>
    </row>
    <row r="78" spans="1:15" x14ac:dyDescent="0.25">
      <c r="A78">
        <v>11</v>
      </c>
      <c r="B78" s="6">
        <v>44971</v>
      </c>
      <c r="C78" s="5" t="s">
        <v>98</v>
      </c>
      <c r="D78" s="5" t="s">
        <v>2</v>
      </c>
      <c r="E78">
        <v>23</v>
      </c>
      <c r="F78" s="5" t="s">
        <v>19</v>
      </c>
      <c r="G78">
        <v>2</v>
      </c>
      <c r="H78">
        <v>50</v>
      </c>
      <c r="I78">
        <v>100</v>
      </c>
      <c r="J78" t="s">
        <v>22</v>
      </c>
      <c r="K78" t="s">
        <v>1029</v>
      </c>
      <c r="L78" t="s">
        <v>1038</v>
      </c>
      <c r="M78" t="s">
        <v>1039</v>
      </c>
      <c r="N78">
        <v>2</v>
      </c>
      <c r="O78" t="s">
        <v>1044</v>
      </c>
    </row>
    <row r="79" spans="1:15" x14ac:dyDescent="0.25">
      <c r="A79">
        <v>22</v>
      </c>
      <c r="B79" s="6">
        <v>45214</v>
      </c>
      <c r="C79" s="5" t="s">
        <v>99</v>
      </c>
      <c r="D79" s="5" t="s">
        <v>2</v>
      </c>
      <c r="E79">
        <v>18</v>
      </c>
      <c r="F79" s="5" t="s">
        <v>19</v>
      </c>
      <c r="G79">
        <v>2</v>
      </c>
      <c r="H79">
        <v>50</v>
      </c>
      <c r="I79">
        <v>100</v>
      </c>
      <c r="J79" t="s">
        <v>22</v>
      </c>
      <c r="K79" t="s">
        <v>1029</v>
      </c>
      <c r="L79" t="s">
        <v>1038</v>
      </c>
      <c r="M79" t="s">
        <v>1047</v>
      </c>
      <c r="N79">
        <v>10</v>
      </c>
      <c r="O79" t="s">
        <v>1049</v>
      </c>
    </row>
    <row r="80" spans="1:15" x14ac:dyDescent="0.25">
      <c r="A80">
        <v>34</v>
      </c>
      <c r="B80" s="6">
        <v>45284</v>
      </c>
      <c r="C80" s="5" t="s">
        <v>100</v>
      </c>
      <c r="D80" s="5" t="s">
        <v>1</v>
      </c>
      <c r="E80">
        <v>51</v>
      </c>
      <c r="F80" s="5" t="s">
        <v>19</v>
      </c>
      <c r="G80">
        <v>3</v>
      </c>
      <c r="H80">
        <v>50</v>
      </c>
      <c r="I80">
        <v>150</v>
      </c>
      <c r="J80" t="s">
        <v>20</v>
      </c>
      <c r="K80" t="s">
        <v>1028</v>
      </c>
      <c r="L80" t="s">
        <v>1038</v>
      </c>
      <c r="M80" t="s">
        <v>1047</v>
      </c>
      <c r="N80">
        <v>12</v>
      </c>
      <c r="O80" t="s">
        <v>1052</v>
      </c>
    </row>
    <row r="81" spans="1:15" x14ac:dyDescent="0.25">
      <c r="A81">
        <v>59</v>
      </c>
      <c r="B81" s="6">
        <v>45112</v>
      </c>
      <c r="C81" s="5" t="s">
        <v>101</v>
      </c>
      <c r="D81" s="5" t="s">
        <v>2</v>
      </c>
      <c r="E81">
        <v>62</v>
      </c>
      <c r="F81" s="5" t="s">
        <v>19</v>
      </c>
      <c r="G81">
        <v>1</v>
      </c>
      <c r="H81">
        <v>50</v>
      </c>
      <c r="I81">
        <v>50</v>
      </c>
      <c r="J81" t="s">
        <v>24</v>
      </c>
      <c r="K81" t="s">
        <v>1030</v>
      </c>
      <c r="L81" t="s">
        <v>1038</v>
      </c>
      <c r="M81" t="s">
        <v>1033</v>
      </c>
      <c r="N81">
        <v>7</v>
      </c>
      <c r="O81" t="s">
        <v>1046</v>
      </c>
    </row>
    <row r="82" spans="1:15" x14ac:dyDescent="0.25">
      <c r="A82">
        <v>77</v>
      </c>
      <c r="B82" s="6">
        <v>45116</v>
      </c>
      <c r="C82" s="5" t="s">
        <v>102</v>
      </c>
      <c r="D82" s="5" t="s">
        <v>1</v>
      </c>
      <c r="E82">
        <v>47</v>
      </c>
      <c r="F82" s="5" t="s">
        <v>19</v>
      </c>
      <c r="G82">
        <v>2</v>
      </c>
      <c r="H82">
        <v>50</v>
      </c>
      <c r="I82">
        <v>100</v>
      </c>
      <c r="J82" t="s">
        <v>20</v>
      </c>
      <c r="K82" t="s">
        <v>1028</v>
      </c>
      <c r="L82" t="s">
        <v>1038</v>
      </c>
      <c r="M82" t="s">
        <v>1033</v>
      </c>
      <c r="N82">
        <v>7</v>
      </c>
      <c r="O82" t="s">
        <v>1046</v>
      </c>
    </row>
    <row r="83" spans="1:15" x14ac:dyDescent="0.25">
      <c r="A83">
        <v>85</v>
      </c>
      <c r="B83" s="6">
        <v>44963</v>
      </c>
      <c r="C83" s="5" t="s">
        <v>103</v>
      </c>
      <c r="D83" s="5" t="s">
        <v>2</v>
      </c>
      <c r="E83">
        <v>31</v>
      </c>
      <c r="F83" s="5" t="s">
        <v>19</v>
      </c>
      <c r="G83">
        <v>3</v>
      </c>
      <c r="H83">
        <v>50</v>
      </c>
      <c r="I83">
        <v>150</v>
      </c>
      <c r="J83" t="s">
        <v>20</v>
      </c>
      <c r="K83" t="s">
        <v>1028</v>
      </c>
      <c r="L83" t="s">
        <v>1038</v>
      </c>
      <c r="M83" t="s">
        <v>1039</v>
      </c>
      <c r="N83">
        <v>2</v>
      </c>
      <c r="O83" t="s">
        <v>1044</v>
      </c>
    </row>
    <row r="84" spans="1:15" x14ac:dyDescent="0.25">
      <c r="A84">
        <v>106</v>
      </c>
      <c r="B84" s="6">
        <v>45064</v>
      </c>
      <c r="C84" s="5" t="s">
        <v>104</v>
      </c>
      <c r="D84" s="5" t="s">
        <v>1</v>
      </c>
      <c r="E84">
        <v>46</v>
      </c>
      <c r="F84" s="5" t="s">
        <v>19</v>
      </c>
      <c r="G84">
        <v>1</v>
      </c>
      <c r="H84">
        <v>50</v>
      </c>
      <c r="I84">
        <v>50</v>
      </c>
      <c r="J84" t="s">
        <v>20</v>
      </c>
      <c r="K84" t="s">
        <v>1028</v>
      </c>
      <c r="L84" t="s">
        <v>1038</v>
      </c>
      <c r="M84" t="s">
        <v>1041</v>
      </c>
      <c r="N84">
        <v>5</v>
      </c>
      <c r="O84" t="s">
        <v>1032</v>
      </c>
    </row>
    <row r="85" spans="1:15" x14ac:dyDescent="0.25">
      <c r="A85">
        <v>119</v>
      </c>
      <c r="B85" s="6">
        <v>44998</v>
      </c>
      <c r="C85" s="5" t="s">
        <v>105</v>
      </c>
      <c r="D85" s="5" t="s">
        <v>1</v>
      </c>
      <c r="E85">
        <v>60</v>
      </c>
      <c r="F85" s="5" t="s">
        <v>19</v>
      </c>
      <c r="G85">
        <v>3</v>
      </c>
      <c r="H85">
        <v>50</v>
      </c>
      <c r="I85">
        <v>150</v>
      </c>
      <c r="J85" t="s">
        <v>24</v>
      </c>
      <c r="K85" t="s">
        <v>1030</v>
      </c>
      <c r="L85" t="s">
        <v>1038</v>
      </c>
      <c r="M85" t="s">
        <v>1039</v>
      </c>
      <c r="N85">
        <v>3</v>
      </c>
      <c r="O85" t="s">
        <v>1040</v>
      </c>
    </row>
    <row r="86" spans="1:15" x14ac:dyDescent="0.25">
      <c r="A86">
        <v>125</v>
      </c>
      <c r="B86" s="6">
        <v>45146</v>
      </c>
      <c r="C86" s="5" t="s">
        <v>106</v>
      </c>
      <c r="D86" s="5" t="s">
        <v>2</v>
      </c>
      <c r="E86">
        <v>48</v>
      </c>
      <c r="F86" s="5" t="s">
        <v>19</v>
      </c>
      <c r="G86">
        <v>2</v>
      </c>
      <c r="H86">
        <v>50</v>
      </c>
      <c r="I86">
        <v>100</v>
      </c>
      <c r="J86" t="s">
        <v>20</v>
      </c>
      <c r="K86" t="s">
        <v>1028</v>
      </c>
      <c r="L86" t="s">
        <v>1038</v>
      </c>
      <c r="M86" t="s">
        <v>1033</v>
      </c>
      <c r="N86">
        <v>8</v>
      </c>
      <c r="O86" t="s">
        <v>1051</v>
      </c>
    </row>
    <row r="87" spans="1:15" x14ac:dyDescent="0.25">
      <c r="A87">
        <v>138</v>
      </c>
      <c r="B87" s="6">
        <v>45008</v>
      </c>
      <c r="C87" s="5" t="s">
        <v>107</v>
      </c>
      <c r="D87" s="5" t="s">
        <v>2</v>
      </c>
      <c r="E87">
        <v>49</v>
      </c>
      <c r="F87" s="5" t="s">
        <v>19</v>
      </c>
      <c r="G87">
        <v>4</v>
      </c>
      <c r="H87">
        <v>50</v>
      </c>
      <c r="I87">
        <v>200</v>
      </c>
      <c r="J87" t="s">
        <v>20</v>
      </c>
      <c r="K87" t="s">
        <v>1028</v>
      </c>
      <c r="L87" t="s">
        <v>1038</v>
      </c>
      <c r="M87" t="s">
        <v>1039</v>
      </c>
      <c r="N87">
        <v>3</v>
      </c>
      <c r="O87" t="s">
        <v>1040</v>
      </c>
    </row>
    <row r="88" spans="1:15" x14ac:dyDescent="0.25">
      <c r="A88">
        <v>143</v>
      </c>
      <c r="B88" s="6">
        <v>45124</v>
      </c>
      <c r="C88" s="5" t="s">
        <v>108</v>
      </c>
      <c r="D88" s="5" t="s">
        <v>1</v>
      </c>
      <c r="E88">
        <v>45</v>
      </c>
      <c r="F88" s="5" t="s">
        <v>19</v>
      </c>
      <c r="G88">
        <v>1</v>
      </c>
      <c r="H88">
        <v>50</v>
      </c>
      <c r="I88">
        <v>50</v>
      </c>
      <c r="J88" t="s">
        <v>20</v>
      </c>
      <c r="K88" t="s">
        <v>1028</v>
      </c>
      <c r="L88" t="s">
        <v>1038</v>
      </c>
      <c r="M88" t="s">
        <v>1033</v>
      </c>
      <c r="N88">
        <v>7</v>
      </c>
      <c r="O88" t="s">
        <v>1046</v>
      </c>
    </row>
    <row r="89" spans="1:15" x14ac:dyDescent="0.25">
      <c r="A89">
        <v>146</v>
      </c>
      <c r="B89" s="6">
        <v>45166</v>
      </c>
      <c r="C89" s="5" t="s">
        <v>109</v>
      </c>
      <c r="D89" s="5" t="s">
        <v>2</v>
      </c>
      <c r="E89">
        <v>38</v>
      </c>
      <c r="F89" s="5" t="s">
        <v>19</v>
      </c>
      <c r="G89">
        <v>4</v>
      </c>
      <c r="H89">
        <v>50</v>
      </c>
      <c r="I89">
        <v>200</v>
      </c>
      <c r="J89" t="s">
        <v>20</v>
      </c>
      <c r="K89" t="s">
        <v>1028</v>
      </c>
      <c r="L89" t="s">
        <v>1038</v>
      </c>
      <c r="M89" t="s">
        <v>1033</v>
      </c>
      <c r="N89">
        <v>8</v>
      </c>
      <c r="O89" t="s">
        <v>1051</v>
      </c>
    </row>
    <row r="90" spans="1:15" x14ac:dyDescent="0.25">
      <c r="A90">
        <v>151</v>
      </c>
      <c r="B90" s="6">
        <v>45275</v>
      </c>
      <c r="C90" s="5" t="s">
        <v>110</v>
      </c>
      <c r="D90" s="5" t="s">
        <v>2</v>
      </c>
      <c r="E90">
        <v>29</v>
      </c>
      <c r="F90" s="5" t="s">
        <v>19</v>
      </c>
      <c r="G90">
        <v>1</v>
      </c>
      <c r="H90">
        <v>50</v>
      </c>
      <c r="I90">
        <v>50</v>
      </c>
      <c r="J90" t="s">
        <v>22</v>
      </c>
      <c r="K90" t="s">
        <v>1029</v>
      </c>
      <c r="L90" t="s">
        <v>1038</v>
      </c>
      <c r="M90" t="s">
        <v>1047</v>
      </c>
      <c r="N90">
        <v>12</v>
      </c>
      <c r="O90" t="s">
        <v>1052</v>
      </c>
    </row>
    <row r="91" spans="1:15" x14ac:dyDescent="0.25">
      <c r="A91">
        <v>159</v>
      </c>
      <c r="B91" s="6">
        <v>45077</v>
      </c>
      <c r="C91" s="5" t="s">
        <v>111</v>
      </c>
      <c r="D91" s="5" t="s">
        <v>2</v>
      </c>
      <c r="E91">
        <v>26</v>
      </c>
      <c r="F91" s="5" t="s">
        <v>19</v>
      </c>
      <c r="G91">
        <v>4</v>
      </c>
      <c r="H91">
        <v>50</v>
      </c>
      <c r="I91">
        <v>200</v>
      </c>
      <c r="J91" t="s">
        <v>22</v>
      </c>
      <c r="K91" t="s">
        <v>1029</v>
      </c>
      <c r="L91" t="s">
        <v>1038</v>
      </c>
      <c r="M91" t="s">
        <v>1041</v>
      </c>
      <c r="N91">
        <v>5</v>
      </c>
      <c r="O91" t="s">
        <v>1032</v>
      </c>
    </row>
    <row r="92" spans="1:15" x14ac:dyDescent="0.25">
      <c r="A92">
        <v>160</v>
      </c>
      <c r="B92" s="6">
        <v>45149</v>
      </c>
      <c r="C92" s="5" t="s">
        <v>112</v>
      </c>
      <c r="D92" s="5" t="s">
        <v>1</v>
      </c>
      <c r="E92">
        <v>43</v>
      </c>
      <c r="F92" s="5" t="s">
        <v>19</v>
      </c>
      <c r="G92">
        <v>2</v>
      </c>
      <c r="H92">
        <v>50</v>
      </c>
      <c r="I92">
        <v>100</v>
      </c>
      <c r="J92" t="s">
        <v>20</v>
      </c>
      <c r="K92" t="s">
        <v>1028</v>
      </c>
      <c r="L92" t="s">
        <v>1038</v>
      </c>
      <c r="M92" t="s">
        <v>1033</v>
      </c>
      <c r="N92">
        <v>8</v>
      </c>
      <c r="O92" t="s">
        <v>1051</v>
      </c>
    </row>
    <row r="93" spans="1:15" x14ac:dyDescent="0.25">
      <c r="A93">
        <v>163</v>
      </c>
      <c r="B93" s="6">
        <v>44928</v>
      </c>
      <c r="C93" s="5" t="s">
        <v>113</v>
      </c>
      <c r="D93" s="5" t="s">
        <v>1</v>
      </c>
      <c r="E93">
        <v>64</v>
      </c>
      <c r="F93" s="5" t="s">
        <v>19</v>
      </c>
      <c r="G93">
        <v>3</v>
      </c>
      <c r="H93">
        <v>50</v>
      </c>
      <c r="I93">
        <v>150</v>
      </c>
      <c r="J93" t="s">
        <v>24</v>
      </c>
      <c r="K93" t="s">
        <v>1030</v>
      </c>
      <c r="L93" t="s">
        <v>1038</v>
      </c>
      <c r="M93" t="s">
        <v>1039</v>
      </c>
      <c r="N93">
        <v>1</v>
      </c>
      <c r="O93" t="s">
        <v>1045</v>
      </c>
    </row>
    <row r="94" spans="1:15" x14ac:dyDescent="0.25">
      <c r="A94">
        <v>167</v>
      </c>
      <c r="B94" s="6">
        <v>45186</v>
      </c>
      <c r="C94" s="5" t="s">
        <v>114</v>
      </c>
      <c r="D94" s="5" t="s">
        <v>1</v>
      </c>
      <c r="E94">
        <v>43</v>
      </c>
      <c r="F94" s="5" t="s">
        <v>19</v>
      </c>
      <c r="G94">
        <v>3</v>
      </c>
      <c r="H94">
        <v>50</v>
      </c>
      <c r="I94">
        <v>150</v>
      </c>
      <c r="J94" t="s">
        <v>20</v>
      </c>
      <c r="K94" t="s">
        <v>1028</v>
      </c>
      <c r="L94" t="s">
        <v>1038</v>
      </c>
      <c r="M94" t="s">
        <v>1033</v>
      </c>
      <c r="N94">
        <v>9</v>
      </c>
      <c r="O94" t="s">
        <v>1043</v>
      </c>
    </row>
    <row r="95" spans="1:15" x14ac:dyDescent="0.25">
      <c r="A95">
        <v>186</v>
      </c>
      <c r="B95" s="6">
        <v>45112</v>
      </c>
      <c r="C95" s="5" t="s">
        <v>115</v>
      </c>
      <c r="D95" s="5" t="s">
        <v>2</v>
      </c>
      <c r="E95">
        <v>20</v>
      </c>
      <c r="F95" s="5" t="s">
        <v>19</v>
      </c>
      <c r="G95">
        <v>4</v>
      </c>
      <c r="H95">
        <v>50</v>
      </c>
      <c r="I95">
        <v>200</v>
      </c>
      <c r="J95" t="s">
        <v>22</v>
      </c>
      <c r="K95" t="s">
        <v>1029</v>
      </c>
      <c r="L95" t="s">
        <v>1038</v>
      </c>
      <c r="M95" t="s">
        <v>1033</v>
      </c>
      <c r="N95">
        <v>7</v>
      </c>
      <c r="O95" t="s">
        <v>1046</v>
      </c>
    </row>
    <row r="96" spans="1:15" x14ac:dyDescent="0.25">
      <c r="A96">
        <v>187</v>
      </c>
      <c r="B96" s="6">
        <v>45084</v>
      </c>
      <c r="C96" s="5" t="s">
        <v>116</v>
      </c>
      <c r="D96" s="5" t="s">
        <v>1</v>
      </c>
      <c r="E96">
        <v>64</v>
      </c>
      <c r="F96" s="5" t="s">
        <v>19</v>
      </c>
      <c r="G96">
        <v>2</v>
      </c>
      <c r="H96">
        <v>50</v>
      </c>
      <c r="I96">
        <v>100</v>
      </c>
      <c r="J96" t="s">
        <v>24</v>
      </c>
      <c r="K96" t="s">
        <v>1030</v>
      </c>
      <c r="L96" t="s">
        <v>1038</v>
      </c>
      <c r="M96" t="s">
        <v>1041</v>
      </c>
      <c r="N96">
        <v>6</v>
      </c>
      <c r="O96" t="s">
        <v>1050</v>
      </c>
    </row>
    <row r="97" spans="1:15" x14ac:dyDescent="0.25">
      <c r="A97">
        <v>194</v>
      </c>
      <c r="B97" s="6">
        <v>45175</v>
      </c>
      <c r="C97" s="5" t="s">
        <v>117</v>
      </c>
      <c r="D97" s="5" t="s">
        <v>2</v>
      </c>
      <c r="E97">
        <v>55</v>
      </c>
      <c r="F97" s="5" t="s">
        <v>19</v>
      </c>
      <c r="G97">
        <v>4</v>
      </c>
      <c r="H97">
        <v>50</v>
      </c>
      <c r="I97">
        <v>200</v>
      </c>
      <c r="J97" t="s">
        <v>20</v>
      </c>
      <c r="K97" t="s">
        <v>1028</v>
      </c>
      <c r="L97" t="s">
        <v>1038</v>
      </c>
      <c r="M97" t="s">
        <v>1033</v>
      </c>
      <c r="N97">
        <v>9</v>
      </c>
      <c r="O97" t="s">
        <v>1043</v>
      </c>
    </row>
    <row r="98" spans="1:15" x14ac:dyDescent="0.25">
      <c r="A98">
        <v>197</v>
      </c>
      <c r="B98" s="6">
        <v>44991</v>
      </c>
      <c r="C98" s="5" t="s">
        <v>118</v>
      </c>
      <c r="D98" s="5" t="s">
        <v>1</v>
      </c>
      <c r="E98">
        <v>42</v>
      </c>
      <c r="F98" s="5" t="s">
        <v>19</v>
      </c>
      <c r="G98">
        <v>4</v>
      </c>
      <c r="H98">
        <v>50</v>
      </c>
      <c r="I98">
        <v>200</v>
      </c>
      <c r="J98" t="s">
        <v>20</v>
      </c>
      <c r="K98" t="s">
        <v>1028</v>
      </c>
      <c r="L98" t="s">
        <v>1038</v>
      </c>
      <c r="M98" t="s">
        <v>1039</v>
      </c>
      <c r="N98">
        <v>3</v>
      </c>
      <c r="O98" t="s">
        <v>1040</v>
      </c>
    </row>
    <row r="99" spans="1:15" x14ac:dyDescent="0.25">
      <c r="A99">
        <v>224</v>
      </c>
      <c r="B99" s="6">
        <v>45100</v>
      </c>
      <c r="C99" s="5" t="s">
        <v>119</v>
      </c>
      <c r="D99" s="5" t="s">
        <v>1</v>
      </c>
      <c r="E99">
        <v>25</v>
      </c>
      <c r="F99" s="5" t="s">
        <v>19</v>
      </c>
      <c r="G99">
        <v>1</v>
      </c>
      <c r="H99">
        <v>50</v>
      </c>
      <c r="I99">
        <v>50</v>
      </c>
      <c r="J99" t="s">
        <v>22</v>
      </c>
      <c r="K99" t="s">
        <v>1029</v>
      </c>
      <c r="L99" t="s">
        <v>1038</v>
      </c>
      <c r="M99" t="s">
        <v>1041</v>
      </c>
      <c r="N99">
        <v>6</v>
      </c>
      <c r="O99" t="s">
        <v>1050</v>
      </c>
    </row>
    <row r="100" spans="1:15" x14ac:dyDescent="0.25">
      <c r="A100">
        <v>226</v>
      </c>
      <c r="B100" s="6">
        <v>45228</v>
      </c>
      <c r="C100" s="5" t="s">
        <v>120</v>
      </c>
      <c r="D100" s="5" t="s">
        <v>1</v>
      </c>
      <c r="E100">
        <v>61</v>
      </c>
      <c r="F100" s="5" t="s">
        <v>19</v>
      </c>
      <c r="G100">
        <v>1</v>
      </c>
      <c r="H100">
        <v>50</v>
      </c>
      <c r="I100">
        <v>50</v>
      </c>
      <c r="J100" t="s">
        <v>24</v>
      </c>
      <c r="K100" t="s">
        <v>1030</v>
      </c>
      <c r="L100" t="s">
        <v>1038</v>
      </c>
      <c r="M100" t="s">
        <v>1047</v>
      </c>
      <c r="N100">
        <v>10</v>
      </c>
      <c r="O100" t="s">
        <v>1049</v>
      </c>
    </row>
    <row r="101" spans="1:15" x14ac:dyDescent="0.25">
      <c r="A101">
        <v>231</v>
      </c>
      <c r="B101" s="6">
        <v>44930</v>
      </c>
      <c r="C101" s="5" t="s">
        <v>121</v>
      </c>
      <c r="D101" s="5" t="s">
        <v>1</v>
      </c>
      <c r="E101">
        <v>23</v>
      </c>
      <c r="F101" s="5" t="s">
        <v>19</v>
      </c>
      <c r="G101">
        <v>3</v>
      </c>
      <c r="H101">
        <v>50</v>
      </c>
      <c r="I101">
        <v>150</v>
      </c>
      <c r="J101" t="s">
        <v>22</v>
      </c>
      <c r="K101" t="s">
        <v>1029</v>
      </c>
      <c r="L101" t="s">
        <v>1038</v>
      </c>
      <c r="M101" t="s">
        <v>1039</v>
      </c>
      <c r="N101">
        <v>1</v>
      </c>
      <c r="O101" t="s">
        <v>1045</v>
      </c>
    </row>
    <row r="102" spans="1:15" x14ac:dyDescent="0.25">
      <c r="A102">
        <v>249</v>
      </c>
      <c r="B102" s="6">
        <v>45219</v>
      </c>
      <c r="C102" s="5" t="s">
        <v>122</v>
      </c>
      <c r="D102" s="5" t="s">
        <v>2</v>
      </c>
      <c r="E102">
        <v>20</v>
      </c>
      <c r="F102" s="5" t="s">
        <v>19</v>
      </c>
      <c r="G102">
        <v>1</v>
      </c>
      <c r="H102">
        <v>50</v>
      </c>
      <c r="I102">
        <v>50</v>
      </c>
      <c r="J102" t="s">
        <v>22</v>
      </c>
      <c r="K102" t="s">
        <v>1029</v>
      </c>
      <c r="L102" t="s">
        <v>1038</v>
      </c>
      <c r="M102" t="s">
        <v>1047</v>
      </c>
      <c r="N102">
        <v>10</v>
      </c>
      <c r="O102" t="s">
        <v>1049</v>
      </c>
    </row>
    <row r="103" spans="1:15" x14ac:dyDescent="0.25">
      <c r="A103">
        <v>258</v>
      </c>
      <c r="B103" s="6">
        <v>45264</v>
      </c>
      <c r="C103" s="5" t="s">
        <v>123</v>
      </c>
      <c r="D103" s="5" t="s">
        <v>1</v>
      </c>
      <c r="E103">
        <v>37</v>
      </c>
      <c r="F103" s="5" t="s">
        <v>19</v>
      </c>
      <c r="G103">
        <v>1</v>
      </c>
      <c r="H103">
        <v>50</v>
      </c>
      <c r="I103">
        <v>50</v>
      </c>
      <c r="J103" t="s">
        <v>20</v>
      </c>
      <c r="K103" t="s">
        <v>1028</v>
      </c>
      <c r="L103" t="s">
        <v>1038</v>
      </c>
      <c r="M103" t="s">
        <v>1047</v>
      </c>
      <c r="N103">
        <v>12</v>
      </c>
      <c r="O103" t="s">
        <v>1052</v>
      </c>
    </row>
    <row r="104" spans="1:15" x14ac:dyDescent="0.25">
      <c r="A104">
        <v>259</v>
      </c>
      <c r="B104" s="6">
        <v>45147</v>
      </c>
      <c r="C104" s="5" t="s">
        <v>124</v>
      </c>
      <c r="D104" s="5" t="s">
        <v>1</v>
      </c>
      <c r="E104">
        <v>45</v>
      </c>
      <c r="F104" s="5" t="s">
        <v>19</v>
      </c>
      <c r="G104">
        <v>4</v>
      </c>
      <c r="H104">
        <v>50</v>
      </c>
      <c r="I104">
        <v>200</v>
      </c>
      <c r="J104" t="s">
        <v>20</v>
      </c>
      <c r="K104" t="s">
        <v>1028</v>
      </c>
      <c r="L104" t="s">
        <v>1038</v>
      </c>
      <c r="M104" t="s">
        <v>1033</v>
      </c>
      <c r="N104">
        <v>8</v>
      </c>
      <c r="O104" t="s">
        <v>1051</v>
      </c>
    </row>
    <row r="105" spans="1:15" x14ac:dyDescent="0.25">
      <c r="A105">
        <v>284</v>
      </c>
      <c r="B105" s="6">
        <v>44965</v>
      </c>
      <c r="C105" s="5" t="s">
        <v>125</v>
      </c>
      <c r="D105" s="5" t="s">
        <v>2</v>
      </c>
      <c r="E105">
        <v>43</v>
      </c>
      <c r="F105" s="5" t="s">
        <v>19</v>
      </c>
      <c r="G105">
        <v>4</v>
      </c>
      <c r="H105">
        <v>50</v>
      </c>
      <c r="I105">
        <v>200</v>
      </c>
      <c r="J105" t="s">
        <v>20</v>
      </c>
      <c r="K105" t="s">
        <v>1028</v>
      </c>
      <c r="L105" t="s">
        <v>1038</v>
      </c>
      <c r="M105" t="s">
        <v>1039</v>
      </c>
      <c r="N105">
        <v>2</v>
      </c>
      <c r="O105" t="s">
        <v>1044</v>
      </c>
    </row>
    <row r="106" spans="1:15" x14ac:dyDescent="0.25">
      <c r="A106">
        <v>341</v>
      </c>
      <c r="B106" s="6">
        <v>45053</v>
      </c>
      <c r="C106" s="5" t="s">
        <v>126</v>
      </c>
      <c r="D106" s="5" t="s">
        <v>2</v>
      </c>
      <c r="E106">
        <v>31</v>
      </c>
      <c r="F106" s="5" t="s">
        <v>19</v>
      </c>
      <c r="G106">
        <v>4</v>
      </c>
      <c r="H106">
        <v>50</v>
      </c>
      <c r="I106">
        <v>200</v>
      </c>
      <c r="J106" t="s">
        <v>20</v>
      </c>
      <c r="K106" t="s">
        <v>1028</v>
      </c>
      <c r="L106" t="s">
        <v>1038</v>
      </c>
      <c r="M106" t="s">
        <v>1041</v>
      </c>
      <c r="N106">
        <v>5</v>
      </c>
      <c r="O106" t="s">
        <v>1032</v>
      </c>
    </row>
    <row r="107" spans="1:15" x14ac:dyDescent="0.25">
      <c r="A107">
        <v>359</v>
      </c>
      <c r="B107" s="6">
        <v>45129</v>
      </c>
      <c r="C107" s="5" t="s">
        <v>127</v>
      </c>
      <c r="D107" s="5" t="s">
        <v>2</v>
      </c>
      <c r="E107">
        <v>50</v>
      </c>
      <c r="F107" s="5" t="s">
        <v>19</v>
      </c>
      <c r="G107">
        <v>1</v>
      </c>
      <c r="H107">
        <v>50</v>
      </c>
      <c r="I107">
        <v>50</v>
      </c>
      <c r="J107" t="s">
        <v>20</v>
      </c>
      <c r="K107" t="s">
        <v>1028</v>
      </c>
      <c r="L107" t="s">
        <v>1038</v>
      </c>
      <c r="M107" t="s">
        <v>1033</v>
      </c>
      <c r="N107">
        <v>7</v>
      </c>
      <c r="O107" t="s">
        <v>1046</v>
      </c>
    </row>
    <row r="108" spans="1:15" x14ac:dyDescent="0.25">
      <c r="A108">
        <v>366</v>
      </c>
      <c r="B108" s="6">
        <v>44964</v>
      </c>
      <c r="C108" s="5" t="s">
        <v>128</v>
      </c>
      <c r="D108" s="5" t="s">
        <v>2</v>
      </c>
      <c r="E108">
        <v>57</v>
      </c>
      <c r="F108" s="5" t="s">
        <v>19</v>
      </c>
      <c r="G108">
        <v>2</v>
      </c>
      <c r="H108">
        <v>50</v>
      </c>
      <c r="I108">
        <v>100</v>
      </c>
      <c r="J108" t="s">
        <v>24</v>
      </c>
      <c r="K108" t="s">
        <v>1030</v>
      </c>
      <c r="L108" t="s">
        <v>1038</v>
      </c>
      <c r="M108" t="s">
        <v>1039</v>
      </c>
      <c r="N108">
        <v>2</v>
      </c>
      <c r="O108" t="s">
        <v>1044</v>
      </c>
    </row>
    <row r="109" spans="1:15" x14ac:dyDescent="0.25">
      <c r="A109">
        <v>375</v>
      </c>
      <c r="B109" s="6">
        <v>45186</v>
      </c>
      <c r="C109" s="5" t="s">
        <v>129</v>
      </c>
      <c r="D109" s="5" t="s">
        <v>2</v>
      </c>
      <c r="E109">
        <v>32</v>
      </c>
      <c r="F109" s="5" t="s">
        <v>19</v>
      </c>
      <c r="G109">
        <v>1</v>
      </c>
      <c r="H109">
        <v>50</v>
      </c>
      <c r="I109">
        <v>50</v>
      </c>
      <c r="J109" t="s">
        <v>20</v>
      </c>
      <c r="K109" t="s">
        <v>1028</v>
      </c>
      <c r="L109" t="s">
        <v>1038</v>
      </c>
      <c r="M109" t="s">
        <v>1033</v>
      </c>
      <c r="N109">
        <v>9</v>
      </c>
      <c r="O109" t="s">
        <v>1043</v>
      </c>
    </row>
    <row r="110" spans="1:15" x14ac:dyDescent="0.25">
      <c r="A110">
        <v>377</v>
      </c>
      <c r="B110" s="6">
        <v>44994</v>
      </c>
      <c r="C110" s="5" t="s">
        <v>130</v>
      </c>
      <c r="D110" s="5" t="s">
        <v>1</v>
      </c>
      <c r="E110">
        <v>46</v>
      </c>
      <c r="F110" s="5" t="s">
        <v>19</v>
      </c>
      <c r="G110">
        <v>4</v>
      </c>
      <c r="H110">
        <v>50</v>
      </c>
      <c r="I110">
        <v>200</v>
      </c>
      <c r="J110" t="s">
        <v>20</v>
      </c>
      <c r="K110" t="s">
        <v>1028</v>
      </c>
      <c r="L110" t="s">
        <v>1038</v>
      </c>
      <c r="M110" t="s">
        <v>1039</v>
      </c>
      <c r="N110">
        <v>3</v>
      </c>
      <c r="O110" t="s">
        <v>1040</v>
      </c>
    </row>
    <row r="111" spans="1:15" x14ac:dyDescent="0.25">
      <c r="A111">
        <v>400</v>
      </c>
      <c r="B111" s="6">
        <v>44981</v>
      </c>
      <c r="C111" s="5" t="s">
        <v>131</v>
      </c>
      <c r="D111" s="5" t="s">
        <v>2</v>
      </c>
      <c r="E111">
        <v>53</v>
      </c>
      <c r="F111" s="5" t="s">
        <v>19</v>
      </c>
      <c r="G111">
        <v>4</v>
      </c>
      <c r="H111">
        <v>50</v>
      </c>
      <c r="I111">
        <v>200</v>
      </c>
      <c r="J111" t="s">
        <v>20</v>
      </c>
      <c r="K111" t="s">
        <v>1028</v>
      </c>
      <c r="L111" t="s">
        <v>1038</v>
      </c>
      <c r="M111" t="s">
        <v>1039</v>
      </c>
      <c r="N111">
        <v>2</v>
      </c>
      <c r="O111" t="s">
        <v>1044</v>
      </c>
    </row>
    <row r="112" spans="1:15" x14ac:dyDescent="0.25">
      <c r="A112">
        <v>410</v>
      </c>
      <c r="B112" s="6">
        <v>45251</v>
      </c>
      <c r="C112" s="5" t="s">
        <v>132</v>
      </c>
      <c r="D112" s="5" t="s">
        <v>1</v>
      </c>
      <c r="E112">
        <v>29</v>
      </c>
      <c r="F112" s="5" t="s">
        <v>19</v>
      </c>
      <c r="G112">
        <v>2</v>
      </c>
      <c r="H112">
        <v>50</v>
      </c>
      <c r="I112">
        <v>100</v>
      </c>
      <c r="J112" t="s">
        <v>22</v>
      </c>
      <c r="K112" t="s">
        <v>1029</v>
      </c>
      <c r="L112" t="s">
        <v>1038</v>
      </c>
      <c r="M112" t="s">
        <v>1047</v>
      </c>
      <c r="N112">
        <v>11</v>
      </c>
      <c r="O112" t="s">
        <v>1048</v>
      </c>
    </row>
    <row r="113" spans="1:15" x14ac:dyDescent="0.25">
      <c r="A113">
        <v>471</v>
      </c>
      <c r="B113" s="6">
        <v>45008</v>
      </c>
      <c r="C113" s="5" t="s">
        <v>133</v>
      </c>
      <c r="D113" s="5" t="s">
        <v>2</v>
      </c>
      <c r="E113">
        <v>32</v>
      </c>
      <c r="F113" s="5" t="s">
        <v>19</v>
      </c>
      <c r="G113">
        <v>3</v>
      </c>
      <c r="H113">
        <v>50</v>
      </c>
      <c r="I113">
        <v>150</v>
      </c>
      <c r="J113" t="s">
        <v>20</v>
      </c>
      <c r="K113" t="s">
        <v>1028</v>
      </c>
      <c r="L113" t="s">
        <v>1038</v>
      </c>
      <c r="M113" t="s">
        <v>1039</v>
      </c>
      <c r="N113">
        <v>3</v>
      </c>
      <c r="O113" t="s">
        <v>1040</v>
      </c>
    </row>
    <row r="114" spans="1:15" x14ac:dyDescent="0.25">
      <c r="A114">
        <v>490</v>
      </c>
      <c r="B114" s="6">
        <v>44962</v>
      </c>
      <c r="C114" s="5" t="s">
        <v>134</v>
      </c>
      <c r="D114" s="5" t="s">
        <v>2</v>
      </c>
      <c r="E114">
        <v>34</v>
      </c>
      <c r="F114" s="5" t="s">
        <v>19</v>
      </c>
      <c r="G114">
        <v>3</v>
      </c>
      <c r="H114">
        <v>50</v>
      </c>
      <c r="I114">
        <v>150</v>
      </c>
      <c r="J114" t="s">
        <v>20</v>
      </c>
      <c r="K114" t="s">
        <v>1028</v>
      </c>
      <c r="L114" t="s">
        <v>1038</v>
      </c>
      <c r="M114" t="s">
        <v>1039</v>
      </c>
      <c r="N114">
        <v>2</v>
      </c>
      <c r="O114" t="s">
        <v>1044</v>
      </c>
    </row>
    <row r="115" spans="1:15" x14ac:dyDescent="0.25">
      <c r="A115">
        <v>526</v>
      </c>
      <c r="B115" s="6">
        <v>45270</v>
      </c>
      <c r="C115" s="5" t="s">
        <v>135</v>
      </c>
      <c r="D115" s="5" t="s">
        <v>2</v>
      </c>
      <c r="E115">
        <v>33</v>
      </c>
      <c r="F115" s="5" t="s">
        <v>19</v>
      </c>
      <c r="G115">
        <v>2</v>
      </c>
      <c r="H115">
        <v>50</v>
      </c>
      <c r="I115">
        <v>100</v>
      </c>
      <c r="J115" t="s">
        <v>20</v>
      </c>
      <c r="K115" t="s">
        <v>1028</v>
      </c>
      <c r="L115" t="s">
        <v>1038</v>
      </c>
      <c r="M115" t="s">
        <v>1047</v>
      </c>
      <c r="N115">
        <v>12</v>
      </c>
      <c r="O115" t="s">
        <v>1052</v>
      </c>
    </row>
    <row r="116" spans="1:15" x14ac:dyDescent="0.25">
      <c r="A116">
        <v>529</v>
      </c>
      <c r="B116" s="6">
        <v>45147</v>
      </c>
      <c r="C116" s="5" t="s">
        <v>136</v>
      </c>
      <c r="D116" s="5" t="s">
        <v>1</v>
      </c>
      <c r="E116">
        <v>35</v>
      </c>
      <c r="F116" s="5" t="s">
        <v>19</v>
      </c>
      <c r="G116">
        <v>3</v>
      </c>
      <c r="H116">
        <v>50</v>
      </c>
      <c r="I116">
        <v>150</v>
      </c>
      <c r="J116" t="s">
        <v>20</v>
      </c>
      <c r="K116" t="s">
        <v>1028</v>
      </c>
      <c r="L116" t="s">
        <v>1038</v>
      </c>
      <c r="M116" t="s">
        <v>1033</v>
      </c>
      <c r="N116">
        <v>8</v>
      </c>
      <c r="O116" t="s">
        <v>1051</v>
      </c>
    </row>
    <row r="117" spans="1:15" x14ac:dyDescent="0.25">
      <c r="A117">
        <v>538</v>
      </c>
      <c r="B117" s="6">
        <v>45186</v>
      </c>
      <c r="C117" s="5" t="s">
        <v>137</v>
      </c>
      <c r="D117" s="5" t="s">
        <v>2</v>
      </c>
      <c r="E117">
        <v>18</v>
      </c>
      <c r="F117" s="5" t="s">
        <v>19</v>
      </c>
      <c r="G117">
        <v>3</v>
      </c>
      <c r="H117">
        <v>50</v>
      </c>
      <c r="I117">
        <v>150</v>
      </c>
      <c r="J117" t="s">
        <v>22</v>
      </c>
      <c r="K117" t="s">
        <v>1029</v>
      </c>
      <c r="L117" t="s">
        <v>1038</v>
      </c>
      <c r="M117" t="s">
        <v>1033</v>
      </c>
      <c r="N117">
        <v>9</v>
      </c>
      <c r="O117" t="s">
        <v>1043</v>
      </c>
    </row>
    <row r="118" spans="1:15" x14ac:dyDescent="0.25">
      <c r="A118">
        <v>575</v>
      </c>
      <c r="B118" s="6">
        <v>45013</v>
      </c>
      <c r="C118" s="5" t="s">
        <v>138</v>
      </c>
      <c r="D118" s="5" t="s">
        <v>2</v>
      </c>
      <c r="E118">
        <v>60</v>
      </c>
      <c r="F118" s="5" t="s">
        <v>19</v>
      </c>
      <c r="G118">
        <v>2</v>
      </c>
      <c r="H118">
        <v>50</v>
      </c>
      <c r="I118">
        <v>100</v>
      </c>
      <c r="J118" t="s">
        <v>24</v>
      </c>
      <c r="K118" t="s">
        <v>1030</v>
      </c>
      <c r="L118" t="s">
        <v>1038</v>
      </c>
      <c r="M118" t="s">
        <v>1039</v>
      </c>
      <c r="N118">
        <v>3</v>
      </c>
      <c r="O118" t="s">
        <v>1040</v>
      </c>
    </row>
    <row r="119" spans="1:15" x14ac:dyDescent="0.25">
      <c r="A119">
        <v>609</v>
      </c>
      <c r="B119" s="6">
        <v>45279</v>
      </c>
      <c r="C119" s="5" t="s">
        <v>139</v>
      </c>
      <c r="D119" s="5" t="s">
        <v>1</v>
      </c>
      <c r="E119">
        <v>47</v>
      </c>
      <c r="F119" s="5" t="s">
        <v>19</v>
      </c>
      <c r="G119">
        <v>2</v>
      </c>
      <c r="H119">
        <v>50</v>
      </c>
      <c r="I119">
        <v>100</v>
      </c>
      <c r="J119" t="s">
        <v>20</v>
      </c>
      <c r="K119" t="s">
        <v>1028</v>
      </c>
      <c r="L119" t="s">
        <v>1038</v>
      </c>
      <c r="M119" t="s">
        <v>1047</v>
      </c>
      <c r="N119">
        <v>12</v>
      </c>
      <c r="O119" t="s">
        <v>1052</v>
      </c>
    </row>
    <row r="120" spans="1:15" x14ac:dyDescent="0.25">
      <c r="A120">
        <v>616</v>
      </c>
      <c r="B120" s="6">
        <v>45192</v>
      </c>
      <c r="C120" s="5" t="s">
        <v>140</v>
      </c>
      <c r="D120" s="5" t="s">
        <v>2</v>
      </c>
      <c r="E120">
        <v>41</v>
      </c>
      <c r="F120" s="5" t="s">
        <v>19</v>
      </c>
      <c r="G120">
        <v>2</v>
      </c>
      <c r="H120">
        <v>50</v>
      </c>
      <c r="I120">
        <v>100</v>
      </c>
      <c r="J120" t="s">
        <v>20</v>
      </c>
      <c r="K120" t="s">
        <v>1028</v>
      </c>
      <c r="L120" t="s">
        <v>1038</v>
      </c>
      <c r="M120" t="s">
        <v>1033</v>
      </c>
      <c r="N120">
        <v>9</v>
      </c>
      <c r="O120" t="s">
        <v>1043</v>
      </c>
    </row>
    <row r="121" spans="1:15" x14ac:dyDescent="0.25">
      <c r="A121">
        <v>623</v>
      </c>
      <c r="B121" s="6">
        <v>44995</v>
      </c>
      <c r="C121" s="5" t="s">
        <v>141</v>
      </c>
      <c r="D121" s="5" t="s">
        <v>2</v>
      </c>
      <c r="E121">
        <v>34</v>
      </c>
      <c r="F121" s="5" t="s">
        <v>19</v>
      </c>
      <c r="G121">
        <v>3</v>
      </c>
      <c r="H121">
        <v>50</v>
      </c>
      <c r="I121">
        <v>150</v>
      </c>
      <c r="J121" t="s">
        <v>20</v>
      </c>
      <c r="K121" t="s">
        <v>1028</v>
      </c>
      <c r="L121" t="s">
        <v>1038</v>
      </c>
      <c r="M121" t="s">
        <v>1039</v>
      </c>
      <c r="N121">
        <v>3</v>
      </c>
      <c r="O121" t="s">
        <v>1040</v>
      </c>
    </row>
    <row r="122" spans="1:15" x14ac:dyDescent="0.25">
      <c r="A122">
        <v>627</v>
      </c>
      <c r="B122" s="6">
        <v>45213</v>
      </c>
      <c r="C122" s="5" t="s">
        <v>142</v>
      </c>
      <c r="D122" s="5" t="s">
        <v>2</v>
      </c>
      <c r="E122">
        <v>57</v>
      </c>
      <c r="F122" s="5" t="s">
        <v>19</v>
      </c>
      <c r="G122">
        <v>1</v>
      </c>
      <c r="H122">
        <v>50</v>
      </c>
      <c r="I122">
        <v>50</v>
      </c>
      <c r="J122" t="s">
        <v>24</v>
      </c>
      <c r="K122" t="s">
        <v>1030</v>
      </c>
      <c r="L122" t="s">
        <v>1038</v>
      </c>
      <c r="M122" t="s">
        <v>1047</v>
      </c>
      <c r="N122">
        <v>10</v>
      </c>
      <c r="O122" t="s">
        <v>1049</v>
      </c>
    </row>
    <row r="123" spans="1:15" x14ac:dyDescent="0.25">
      <c r="A123">
        <v>630</v>
      </c>
      <c r="B123" s="6">
        <v>45153</v>
      </c>
      <c r="C123" s="5" t="s">
        <v>143</v>
      </c>
      <c r="D123" s="5" t="s">
        <v>2</v>
      </c>
      <c r="E123">
        <v>42</v>
      </c>
      <c r="F123" s="5" t="s">
        <v>19</v>
      </c>
      <c r="G123">
        <v>2</v>
      </c>
      <c r="H123">
        <v>50</v>
      </c>
      <c r="I123">
        <v>100</v>
      </c>
      <c r="J123" t="s">
        <v>20</v>
      </c>
      <c r="K123" t="s">
        <v>1028</v>
      </c>
      <c r="L123" t="s">
        <v>1038</v>
      </c>
      <c r="M123" t="s">
        <v>1033</v>
      </c>
      <c r="N123">
        <v>8</v>
      </c>
      <c r="O123" t="s">
        <v>1051</v>
      </c>
    </row>
    <row r="124" spans="1:15" x14ac:dyDescent="0.25">
      <c r="A124">
        <v>651</v>
      </c>
      <c r="B124" s="6">
        <v>45073</v>
      </c>
      <c r="C124" s="5" t="s">
        <v>144</v>
      </c>
      <c r="D124" s="5" t="s">
        <v>2</v>
      </c>
      <c r="E124">
        <v>51</v>
      </c>
      <c r="F124" s="5" t="s">
        <v>19</v>
      </c>
      <c r="G124">
        <v>3</v>
      </c>
      <c r="H124">
        <v>50</v>
      </c>
      <c r="I124">
        <v>150</v>
      </c>
      <c r="J124" t="s">
        <v>20</v>
      </c>
      <c r="K124" t="s">
        <v>1028</v>
      </c>
      <c r="L124" t="s">
        <v>1038</v>
      </c>
      <c r="M124" t="s">
        <v>1041</v>
      </c>
      <c r="N124">
        <v>5</v>
      </c>
      <c r="O124" t="s">
        <v>1032</v>
      </c>
    </row>
    <row r="125" spans="1:15" x14ac:dyDescent="0.25">
      <c r="A125">
        <v>665</v>
      </c>
      <c r="B125" s="6">
        <v>45036</v>
      </c>
      <c r="C125" s="5" t="s">
        <v>145</v>
      </c>
      <c r="D125" s="5" t="s">
        <v>2</v>
      </c>
      <c r="E125">
        <v>57</v>
      </c>
      <c r="F125" s="5" t="s">
        <v>19</v>
      </c>
      <c r="G125">
        <v>1</v>
      </c>
      <c r="H125">
        <v>50</v>
      </c>
      <c r="I125">
        <v>50</v>
      </c>
      <c r="J125" t="s">
        <v>24</v>
      </c>
      <c r="K125" t="s">
        <v>1030</v>
      </c>
      <c r="L125" t="s">
        <v>1038</v>
      </c>
      <c r="M125" t="s">
        <v>1041</v>
      </c>
      <c r="N125">
        <v>4</v>
      </c>
      <c r="O125" t="s">
        <v>1042</v>
      </c>
    </row>
    <row r="126" spans="1:15" x14ac:dyDescent="0.25">
      <c r="A126">
        <v>692</v>
      </c>
      <c r="B126" s="6">
        <v>45176</v>
      </c>
      <c r="C126" s="5" t="s">
        <v>146</v>
      </c>
      <c r="D126" s="5" t="s">
        <v>1</v>
      </c>
      <c r="E126">
        <v>64</v>
      </c>
      <c r="F126" s="5" t="s">
        <v>19</v>
      </c>
      <c r="G126">
        <v>2</v>
      </c>
      <c r="H126">
        <v>50</v>
      </c>
      <c r="I126">
        <v>100</v>
      </c>
      <c r="J126" t="s">
        <v>24</v>
      </c>
      <c r="K126" t="s">
        <v>1030</v>
      </c>
      <c r="L126" t="s">
        <v>1038</v>
      </c>
      <c r="M126" t="s">
        <v>1033</v>
      </c>
      <c r="N126">
        <v>9</v>
      </c>
      <c r="O126" t="s">
        <v>1043</v>
      </c>
    </row>
    <row r="127" spans="1:15" x14ac:dyDescent="0.25">
      <c r="A127">
        <v>696</v>
      </c>
      <c r="B127" s="6">
        <v>45175</v>
      </c>
      <c r="C127" s="5" t="s">
        <v>147</v>
      </c>
      <c r="D127" s="5" t="s">
        <v>1</v>
      </c>
      <c r="E127">
        <v>50</v>
      </c>
      <c r="F127" s="5" t="s">
        <v>19</v>
      </c>
      <c r="G127">
        <v>4</v>
      </c>
      <c r="H127">
        <v>50</v>
      </c>
      <c r="I127">
        <v>200</v>
      </c>
      <c r="J127" t="s">
        <v>20</v>
      </c>
      <c r="K127" t="s">
        <v>1028</v>
      </c>
      <c r="L127" t="s">
        <v>1038</v>
      </c>
      <c r="M127" t="s">
        <v>1033</v>
      </c>
      <c r="N127">
        <v>9</v>
      </c>
      <c r="O127" t="s">
        <v>1043</v>
      </c>
    </row>
    <row r="128" spans="1:15" x14ac:dyDescent="0.25">
      <c r="A128">
        <v>724</v>
      </c>
      <c r="B128" s="6">
        <v>45035</v>
      </c>
      <c r="C128" s="5" t="s">
        <v>148</v>
      </c>
      <c r="D128" s="5" t="s">
        <v>2</v>
      </c>
      <c r="E128">
        <v>61</v>
      </c>
      <c r="F128" s="5" t="s">
        <v>19</v>
      </c>
      <c r="G128">
        <v>3</v>
      </c>
      <c r="H128">
        <v>50</v>
      </c>
      <c r="I128">
        <v>150</v>
      </c>
      <c r="J128" t="s">
        <v>24</v>
      </c>
      <c r="K128" t="s">
        <v>1030</v>
      </c>
      <c r="L128" t="s">
        <v>1038</v>
      </c>
      <c r="M128" t="s">
        <v>1041</v>
      </c>
      <c r="N128">
        <v>4</v>
      </c>
      <c r="O128" t="s">
        <v>1042</v>
      </c>
    </row>
    <row r="129" spans="1:15" x14ac:dyDescent="0.25">
      <c r="A129">
        <v>737</v>
      </c>
      <c r="B129" s="6">
        <v>45106</v>
      </c>
      <c r="C129" s="5" t="s">
        <v>149</v>
      </c>
      <c r="D129" s="5" t="s">
        <v>1</v>
      </c>
      <c r="E129">
        <v>33</v>
      </c>
      <c r="F129" s="5" t="s">
        <v>19</v>
      </c>
      <c r="G129">
        <v>1</v>
      </c>
      <c r="H129">
        <v>50</v>
      </c>
      <c r="I129">
        <v>50</v>
      </c>
      <c r="J129" t="s">
        <v>20</v>
      </c>
      <c r="K129" t="s">
        <v>1028</v>
      </c>
      <c r="L129" t="s">
        <v>1038</v>
      </c>
      <c r="M129" t="s">
        <v>1041</v>
      </c>
      <c r="N129">
        <v>6</v>
      </c>
      <c r="O129" t="s">
        <v>1050</v>
      </c>
    </row>
    <row r="130" spans="1:15" x14ac:dyDescent="0.25">
      <c r="A130">
        <v>738</v>
      </c>
      <c r="B130" s="6">
        <v>45041</v>
      </c>
      <c r="C130" s="5" t="s">
        <v>150</v>
      </c>
      <c r="D130" s="5" t="s">
        <v>2</v>
      </c>
      <c r="E130">
        <v>41</v>
      </c>
      <c r="F130" s="5" t="s">
        <v>19</v>
      </c>
      <c r="G130">
        <v>2</v>
      </c>
      <c r="H130">
        <v>50</v>
      </c>
      <c r="I130">
        <v>100</v>
      </c>
      <c r="J130" t="s">
        <v>20</v>
      </c>
      <c r="K130" t="s">
        <v>1028</v>
      </c>
      <c r="L130" t="s">
        <v>1038</v>
      </c>
      <c r="M130" t="s">
        <v>1041</v>
      </c>
      <c r="N130">
        <v>4</v>
      </c>
      <c r="O130" t="s">
        <v>1042</v>
      </c>
    </row>
    <row r="131" spans="1:15" x14ac:dyDescent="0.25">
      <c r="A131">
        <v>748</v>
      </c>
      <c r="B131" s="6">
        <v>45005</v>
      </c>
      <c r="C131" s="5" t="s">
        <v>151</v>
      </c>
      <c r="D131" s="5" t="s">
        <v>2</v>
      </c>
      <c r="E131">
        <v>25</v>
      </c>
      <c r="F131" s="5" t="s">
        <v>19</v>
      </c>
      <c r="G131">
        <v>3</v>
      </c>
      <c r="H131">
        <v>50</v>
      </c>
      <c r="I131">
        <v>150</v>
      </c>
      <c r="J131" t="s">
        <v>22</v>
      </c>
      <c r="K131" t="s">
        <v>1029</v>
      </c>
      <c r="L131" t="s">
        <v>1038</v>
      </c>
      <c r="M131" t="s">
        <v>1039</v>
      </c>
      <c r="N131">
        <v>3</v>
      </c>
      <c r="O131" t="s">
        <v>1040</v>
      </c>
    </row>
    <row r="132" spans="1:15" x14ac:dyDescent="0.25">
      <c r="A132">
        <v>752</v>
      </c>
      <c r="B132" s="6">
        <v>45269</v>
      </c>
      <c r="C132" s="5" t="s">
        <v>152</v>
      </c>
      <c r="D132" s="5" t="s">
        <v>2</v>
      </c>
      <c r="E132">
        <v>29</v>
      </c>
      <c r="F132" s="5" t="s">
        <v>19</v>
      </c>
      <c r="G132">
        <v>2</v>
      </c>
      <c r="H132">
        <v>50</v>
      </c>
      <c r="I132">
        <v>100</v>
      </c>
      <c r="J132" t="s">
        <v>22</v>
      </c>
      <c r="K132" t="s">
        <v>1029</v>
      </c>
      <c r="L132" t="s">
        <v>1038</v>
      </c>
      <c r="M132" t="s">
        <v>1047</v>
      </c>
      <c r="N132">
        <v>12</v>
      </c>
      <c r="O132" t="s">
        <v>1052</v>
      </c>
    </row>
    <row r="133" spans="1:15" x14ac:dyDescent="0.25">
      <c r="A133">
        <v>765</v>
      </c>
      <c r="B133" s="6">
        <v>45086</v>
      </c>
      <c r="C133" s="5" t="s">
        <v>153</v>
      </c>
      <c r="D133" s="5" t="s">
        <v>2</v>
      </c>
      <c r="E133">
        <v>43</v>
      </c>
      <c r="F133" s="5" t="s">
        <v>19</v>
      </c>
      <c r="G133">
        <v>4</v>
      </c>
      <c r="H133">
        <v>50</v>
      </c>
      <c r="I133">
        <v>200</v>
      </c>
      <c r="J133" t="s">
        <v>20</v>
      </c>
      <c r="K133" t="s">
        <v>1028</v>
      </c>
      <c r="L133" t="s">
        <v>1038</v>
      </c>
      <c r="M133" t="s">
        <v>1041</v>
      </c>
      <c r="N133">
        <v>6</v>
      </c>
      <c r="O133" t="s">
        <v>1050</v>
      </c>
    </row>
    <row r="134" spans="1:15" x14ac:dyDescent="0.25">
      <c r="A134">
        <v>770</v>
      </c>
      <c r="B134" s="6">
        <v>45221</v>
      </c>
      <c r="C134" s="5" t="s">
        <v>154</v>
      </c>
      <c r="D134" s="5" t="s">
        <v>2</v>
      </c>
      <c r="E134">
        <v>32</v>
      </c>
      <c r="F134" s="5" t="s">
        <v>19</v>
      </c>
      <c r="G134">
        <v>1</v>
      </c>
      <c r="H134">
        <v>50</v>
      </c>
      <c r="I134">
        <v>50</v>
      </c>
      <c r="J134" t="s">
        <v>20</v>
      </c>
      <c r="K134" t="s">
        <v>1028</v>
      </c>
      <c r="L134" t="s">
        <v>1038</v>
      </c>
      <c r="M134" t="s">
        <v>1047</v>
      </c>
      <c r="N134">
        <v>10</v>
      </c>
      <c r="O134" t="s">
        <v>1049</v>
      </c>
    </row>
    <row r="135" spans="1:15" x14ac:dyDescent="0.25">
      <c r="A135">
        <v>798</v>
      </c>
      <c r="B135" s="6">
        <v>45142</v>
      </c>
      <c r="C135" s="5" t="s">
        <v>155</v>
      </c>
      <c r="D135" s="5" t="s">
        <v>2</v>
      </c>
      <c r="E135">
        <v>61</v>
      </c>
      <c r="F135" s="5" t="s">
        <v>19</v>
      </c>
      <c r="G135">
        <v>1</v>
      </c>
      <c r="H135">
        <v>50</v>
      </c>
      <c r="I135">
        <v>50</v>
      </c>
      <c r="J135" t="s">
        <v>24</v>
      </c>
      <c r="K135" t="s">
        <v>1030</v>
      </c>
      <c r="L135" t="s">
        <v>1038</v>
      </c>
      <c r="M135" t="s">
        <v>1033</v>
      </c>
      <c r="N135">
        <v>8</v>
      </c>
      <c r="O135" t="s">
        <v>1051</v>
      </c>
    </row>
    <row r="136" spans="1:15" x14ac:dyDescent="0.25">
      <c r="A136">
        <v>801</v>
      </c>
      <c r="B136" s="6">
        <v>45148</v>
      </c>
      <c r="C136" s="5" t="s">
        <v>156</v>
      </c>
      <c r="D136" s="5" t="s">
        <v>2</v>
      </c>
      <c r="E136">
        <v>21</v>
      </c>
      <c r="F136" s="5" t="s">
        <v>19</v>
      </c>
      <c r="G136">
        <v>4</v>
      </c>
      <c r="H136">
        <v>50</v>
      </c>
      <c r="I136">
        <v>200</v>
      </c>
      <c r="J136" t="s">
        <v>22</v>
      </c>
      <c r="K136" t="s">
        <v>1029</v>
      </c>
      <c r="L136" t="s">
        <v>1038</v>
      </c>
      <c r="M136" t="s">
        <v>1033</v>
      </c>
      <c r="N136">
        <v>8</v>
      </c>
      <c r="O136" t="s">
        <v>1051</v>
      </c>
    </row>
    <row r="137" spans="1:15" x14ac:dyDescent="0.25">
      <c r="A137">
        <v>830</v>
      </c>
      <c r="B137" s="6">
        <v>45099</v>
      </c>
      <c r="C137" s="5" t="s">
        <v>157</v>
      </c>
      <c r="D137" s="5" t="s">
        <v>1</v>
      </c>
      <c r="E137">
        <v>64</v>
      </c>
      <c r="F137" s="5" t="s">
        <v>19</v>
      </c>
      <c r="G137">
        <v>3</v>
      </c>
      <c r="H137">
        <v>50</v>
      </c>
      <c r="I137">
        <v>150</v>
      </c>
      <c r="J137" t="s">
        <v>24</v>
      </c>
      <c r="K137" t="s">
        <v>1030</v>
      </c>
      <c r="L137" t="s">
        <v>1038</v>
      </c>
      <c r="M137" t="s">
        <v>1041</v>
      </c>
      <c r="N137">
        <v>6</v>
      </c>
      <c r="O137" t="s">
        <v>1050</v>
      </c>
    </row>
    <row r="138" spans="1:15" x14ac:dyDescent="0.25">
      <c r="A138">
        <v>835</v>
      </c>
      <c r="B138" s="6">
        <v>45176</v>
      </c>
      <c r="C138" s="5" t="s">
        <v>158</v>
      </c>
      <c r="D138" s="5" t="s">
        <v>2</v>
      </c>
      <c r="E138">
        <v>37</v>
      </c>
      <c r="F138" s="5" t="s">
        <v>19</v>
      </c>
      <c r="G138">
        <v>4</v>
      </c>
      <c r="H138">
        <v>50</v>
      </c>
      <c r="I138">
        <v>200</v>
      </c>
      <c r="J138" t="s">
        <v>20</v>
      </c>
      <c r="K138" t="s">
        <v>1028</v>
      </c>
      <c r="L138" t="s">
        <v>1038</v>
      </c>
      <c r="M138" t="s">
        <v>1033</v>
      </c>
      <c r="N138">
        <v>9</v>
      </c>
      <c r="O138" t="s">
        <v>1043</v>
      </c>
    </row>
    <row r="139" spans="1:15" x14ac:dyDescent="0.25">
      <c r="A139">
        <v>836</v>
      </c>
      <c r="B139" s="6">
        <v>45035</v>
      </c>
      <c r="C139" s="5" t="s">
        <v>159</v>
      </c>
      <c r="D139" s="5" t="s">
        <v>1</v>
      </c>
      <c r="E139">
        <v>22</v>
      </c>
      <c r="F139" s="5" t="s">
        <v>19</v>
      </c>
      <c r="G139">
        <v>1</v>
      </c>
      <c r="H139">
        <v>50</v>
      </c>
      <c r="I139">
        <v>50</v>
      </c>
      <c r="J139" t="s">
        <v>22</v>
      </c>
      <c r="K139" t="s">
        <v>1029</v>
      </c>
      <c r="L139" t="s">
        <v>1038</v>
      </c>
      <c r="M139" t="s">
        <v>1041</v>
      </c>
      <c r="N139">
        <v>4</v>
      </c>
      <c r="O139" t="s">
        <v>1042</v>
      </c>
    </row>
    <row r="140" spans="1:15" x14ac:dyDescent="0.25">
      <c r="A140">
        <v>844</v>
      </c>
      <c r="B140" s="6">
        <v>45211</v>
      </c>
      <c r="C140" s="5" t="s">
        <v>160</v>
      </c>
      <c r="D140" s="5" t="s">
        <v>2</v>
      </c>
      <c r="E140">
        <v>35</v>
      </c>
      <c r="F140" s="5" t="s">
        <v>19</v>
      </c>
      <c r="G140">
        <v>3</v>
      </c>
      <c r="H140">
        <v>50</v>
      </c>
      <c r="I140">
        <v>150</v>
      </c>
      <c r="J140" t="s">
        <v>20</v>
      </c>
      <c r="K140" t="s">
        <v>1028</v>
      </c>
      <c r="L140" t="s">
        <v>1038</v>
      </c>
      <c r="M140" t="s">
        <v>1047</v>
      </c>
      <c r="N140">
        <v>10</v>
      </c>
      <c r="O140" t="s">
        <v>1049</v>
      </c>
    </row>
    <row r="141" spans="1:15" x14ac:dyDescent="0.25">
      <c r="A141">
        <v>854</v>
      </c>
      <c r="B141" s="6">
        <v>45280</v>
      </c>
      <c r="C141" s="5" t="s">
        <v>161</v>
      </c>
      <c r="D141" s="5" t="s">
        <v>2</v>
      </c>
      <c r="E141">
        <v>29</v>
      </c>
      <c r="F141" s="5" t="s">
        <v>19</v>
      </c>
      <c r="G141">
        <v>1</v>
      </c>
      <c r="H141">
        <v>50</v>
      </c>
      <c r="I141">
        <v>50</v>
      </c>
      <c r="J141" t="s">
        <v>22</v>
      </c>
      <c r="K141" t="s">
        <v>1029</v>
      </c>
      <c r="L141" t="s">
        <v>1038</v>
      </c>
      <c r="M141" t="s">
        <v>1047</v>
      </c>
      <c r="N141">
        <v>12</v>
      </c>
      <c r="O141" t="s">
        <v>1052</v>
      </c>
    </row>
    <row r="142" spans="1:15" x14ac:dyDescent="0.25">
      <c r="A142">
        <v>860</v>
      </c>
      <c r="B142" s="6">
        <v>44935</v>
      </c>
      <c r="C142" s="5" t="s">
        <v>162</v>
      </c>
      <c r="D142" s="5" t="s">
        <v>2</v>
      </c>
      <c r="E142">
        <v>63</v>
      </c>
      <c r="F142" s="5" t="s">
        <v>19</v>
      </c>
      <c r="G142">
        <v>4</v>
      </c>
      <c r="H142">
        <v>50</v>
      </c>
      <c r="I142">
        <v>200</v>
      </c>
      <c r="J142" t="s">
        <v>24</v>
      </c>
      <c r="K142" t="s">
        <v>1030</v>
      </c>
      <c r="L142" t="s">
        <v>1038</v>
      </c>
      <c r="M142" t="s">
        <v>1039</v>
      </c>
      <c r="N142">
        <v>1</v>
      </c>
      <c r="O142" t="s">
        <v>1045</v>
      </c>
    </row>
    <row r="143" spans="1:15" x14ac:dyDescent="0.25">
      <c r="A143">
        <v>906</v>
      </c>
      <c r="B143" s="6">
        <v>45081</v>
      </c>
      <c r="C143" s="5" t="s">
        <v>163</v>
      </c>
      <c r="D143" s="5" t="s">
        <v>1</v>
      </c>
      <c r="E143">
        <v>20</v>
      </c>
      <c r="F143" s="5" t="s">
        <v>19</v>
      </c>
      <c r="G143">
        <v>1</v>
      </c>
      <c r="H143">
        <v>50</v>
      </c>
      <c r="I143">
        <v>50</v>
      </c>
      <c r="J143" t="s">
        <v>22</v>
      </c>
      <c r="K143" t="s">
        <v>1029</v>
      </c>
      <c r="L143" t="s">
        <v>1038</v>
      </c>
      <c r="M143" t="s">
        <v>1041</v>
      </c>
      <c r="N143">
        <v>6</v>
      </c>
      <c r="O143" t="s">
        <v>1050</v>
      </c>
    </row>
    <row r="144" spans="1:15" x14ac:dyDescent="0.25">
      <c r="A144">
        <v>930</v>
      </c>
      <c r="B144" s="6">
        <v>45056</v>
      </c>
      <c r="C144" s="5" t="s">
        <v>164</v>
      </c>
      <c r="D144" s="5" t="s">
        <v>2</v>
      </c>
      <c r="E144">
        <v>54</v>
      </c>
      <c r="F144" s="5" t="s">
        <v>19</v>
      </c>
      <c r="G144">
        <v>4</v>
      </c>
      <c r="H144">
        <v>50</v>
      </c>
      <c r="I144">
        <v>200</v>
      </c>
      <c r="J144" t="s">
        <v>20</v>
      </c>
      <c r="K144" t="s">
        <v>1028</v>
      </c>
      <c r="L144" t="s">
        <v>1038</v>
      </c>
      <c r="M144" t="s">
        <v>1041</v>
      </c>
      <c r="N144">
        <v>5</v>
      </c>
      <c r="O144" t="s">
        <v>1032</v>
      </c>
    </row>
    <row r="145" spans="1:15" x14ac:dyDescent="0.25">
      <c r="A145">
        <v>938</v>
      </c>
      <c r="B145" s="6">
        <v>45249</v>
      </c>
      <c r="C145" s="5" t="s">
        <v>165</v>
      </c>
      <c r="D145" s="5" t="s">
        <v>2</v>
      </c>
      <c r="E145">
        <v>49</v>
      </c>
      <c r="F145" s="5" t="s">
        <v>19</v>
      </c>
      <c r="G145">
        <v>4</v>
      </c>
      <c r="H145">
        <v>50</v>
      </c>
      <c r="I145">
        <v>200</v>
      </c>
      <c r="J145" t="s">
        <v>20</v>
      </c>
      <c r="K145" t="s">
        <v>1028</v>
      </c>
      <c r="L145" t="s">
        <v>1038</v>
      </c>
      <c r="M145" t="s">
        <v>1047</v>
      </c>
      <c r="N145">
        <v>11</v>
      </c>
      <c r="O145" t="s">
        <v>1048</v>
      </c>
    </row>
    <row r="146" spans="1:15" x14ac:dyDescent="0.25">
      <c r="A146">
        <v>965</v>
      </c>
      <c r="B146" s="6">
        <v>45239</v>
      </c>
      <c r="C146" s="5" t="s">
        <v>166</v>
      </c>
      <c r="D146" s="5" t="s">
        <v>2</v>
      </c>
      <c r="E146">
        <v>22</v>
      </c>
      <c r="F146" s="5" t="s">
        <v>19</v>
      </c>
      <c r="G146">
        <v>4</v>
      </c>
      <c r="H146">
        <v>50</v>
      </c>
      <c r="I146">
        <v>200</v>
      </c>
      <c r="J146" t="s">
        <v>22</v>
      </c>
      <c r="K146" t="s">
        <v>1029</v>
      </c>
      <c r="L146" t="s">
        <v>1038</v>
      </c>
      <c r="M146" t="s">
        <v>1047</v>
      </c>
      <c r="N146">
        <v>11</v>
      </c>
      <c r="O146" t="s">
        <v>1048</v>
      </c>
    </row>
    <row r="147" spans="1:15" x14ac:dyDescent="0.25">
      <c r="A147">
        <v>973</v>
      </c>
      <c r="B147" s="6">
        <v>45007</v>
      </c>
      <c r="C147" s="5" t="s">
        <v>167</v>
      </c>
      <c r="D147" s="5" t="s">
        <v>2</v>
      </c>
      <c r="E147">
        <v>60</v>
      </c>
      <c r="F147" s="5" t="s">
        <v>19</v>
      </c>
      <c r="G147">
        <v>1</v>
      </c>
      <c r="H147">
        <v>50</v>
      </c>
      <c r="I147">
        <v>50</v>
      </c>
      <c r="J147" t="s">
        <v>24</v>
      </c>
      <c r="K147" t="s">
        <v>1030</v>
      </c>
      <c r="L147" t="s">
        <v>1038</v>
      </c>
      <c r="M147" t="s">
        <v>1039</v>
      </c>
      <c r="N147">
        <v>3</v>
      </c>
      <c r="O147" t="s">
        <v>1040</v>
      </c>
    </row>
    <row r="148" spans="1:15" x14ac:dyDescent="0.25">
      <c r="A148">
        <v>975</v>
      </c>
      <c r="B148" s="6">
        <v>45015</v>
      </c>
      <c r="C148" s="5" t="s">
        <v>168</v>
      </c>
      <c r="D148" s="5" t="s">
        <v>1</v>
      </c>
      <c r="E148">
        <v>56</v>
      </c>
      <c r="F148" s="5" t="s">
        <v>19</v>
      </c>
      <c r="G148">
        <v>4</v>
      </c>
      <c r="H148">
        <v>50</v>
      </c>
      <c r="I148">
        <v>200</v>
      </c>
      <c r="J148" t="s">
        <v>24</v>
      </c>
      <c r="K148" t="s">
        <v>1030</v>
      </c>
      <c r="L148" t="s">
        <v>1038</v>
      </c>
      <c r="M148" t="s">
        <v>1039</v>
      </c>
      <c r="N148">
        <v>3</v>
      </c>
      <c r="O148" t="s">
        <v>1040</v>
      </c>
    </row>
    <row r="149" spans="1:15" x14ac:dyDescent="0.25">
      <c r="A149">
        <v>978</v>
      </c>
      <c r="B149" s="6">
        <v>45007</v>
      </c>
      <c r="C149" s="5" t="s">
        <v>169</v>
      </c>
      <c r="D149" s="5" t="s">
        <v>1</v>
      </c>
      <c r="E149">
        <v>53</v>
      </c>
      <c r="F149" s="5" t="s">
        <v>19</v>
      </c>
      <c r="G149">
        <v>3</v>
      </c>
      <c r="H149">
        <v>50</v>
      </c>
      <c r="I149">
        <v>150</v>
      </c>
      <c r="J149" t="s">
        <v>20</v>
      </c>
      <c r="K149" t="s">
        <v>1028</v>
      </c>
      <c r="L149" t="s">
        <v>1038</v>
      </c>
      <c r="M149" t="s">
        <v>1039</v>
      </c>
      <c r="N149">
        <v>3</v>
      </c>
      <c r="O149" t="s">
        <v>1040</v>
      </c>
    </row>
    <row r="150" spans="1:15" x14ac:dyDescent="0.25">
      <c r="A150">
        <v>991</v>
      </c>
      <c r="B150" s="6">
        <v>45286</v>
      </c>
      <c r="C150" s="5" t="s">
        <v>170</v>
      </c>
      <c r="D150" s="5" t="s">
        <v>1</v>
      </c>
      <c r="E150">
        <v>34</v>
      </c>
      <c r="F150" s="5" t="s">
        <v>19</v>
      </c>
      <c r="G150">
        <v>2</v>
      </c>
      <c r="H150">
        <v>50</v>
      </c>
      <c r="I150">
        <v>100</v>
      </c>
      <c r="J150" t="s">
        <v>20</v>
      </c>
      <c r="K150" t="s">
        <v>1028</v>
      </c>
      <c r="L150" t="s">
        <v>1038</v>
      </c>
      <c r="M150" t="s">
        <v>1047</v>
      </c>
      <c r="N150">
        <v>12</v>
      </c>
      <c r="O150" t="s">
        <v>1052</v>
      </c>
    </row>
    <row r="151" spans="1:15" x14ac:dyDescent="0.25">
      <c r="A151">
        <v>996</v>
      </c>
      <c r="B151" s="6">
        <v>45062</v>
      </c>
      <c r="C151" s="5" t="s">
        <v>171</v>
      </c>
      <c r="D151" s="5" t="s">
        <v>2</v>
      </c>
      <c r="E151">
        <v>62</v>
      </c>
      <c r="F151" s="5" t="s">
        <v>19</v>
      </c>
      <c r="G151">
        <v>1</v>
      </c>
      <c r="H151">
        <v>50</v>
      </c>
      <c r="I151">
        <v>50</v>
      </c>
      <c r="J151" t="s">
        <v>24</v>
      </c>
      <c r="K151" t="s">
        <v>1030</v>
      </c>
      <c r="L151" t="s">
        <v>1038</v>
      </c>
      <c r="M151" t="s">
        <v>1041</v>
      </c>
      <c r="N151">
        <v>5</v>
      </c>
      <c r="O151" t="s">
        <v>1032</v>
      </c>
    </row>
    <row r="152" spans="1:15" x14ac:dyDescent="0.25">
      <c r="A152">
        <v>20</v>
      </c>
      <c r="B152" s="6">
        <v>45235</v>
      </c>
      <c r="C152" s="5" t="s">
        <v>172</v>
      </c>
      <c r="D152" s="5" t="s">
        <v>2</v>
      </c>
      <c r="E152">
        <v>22</v>
      </c>
      <c r="F152" s="5" t="s">
        <v>19</v>
      </c>
      <c r="G152">
        <v>3</v>
      </c>
      <c r="H152">
        <v>300</v>
      </c>
      <c r="I152">
        <v>900</v>
      </c>
      <c r="J152" t="s">
        <v>22</v>
      </c>
      <c r="K152" t="s">
        <v>1029</v>
      </c>
      <c r="L152" t="s">
        <v>1038</v>
      </c>
      <c r="M152" t="s">
        <v>1047</v>
      </c>
      <c r="N152">
        <v>11</v>
      </c>
      <c r="O152" t="s">
        <v>1048</v>
      </c>
    </row>
    <row r="153" spans="1:15" x14ac:dyDescent="0.25">
      <c r="A153">
        <v>24</v>
      </c>
      <c r="B153" s="6">
        <v>45259</v>
      </c>
      <c r="C153" s="5" t="s">
        <v>173</v>
      </c>
      <c r="D153" s="5" t="s">
        <v>1</v>
      </c>
      <c r="E153">
        <v>49</v>
      </c>
      <c r="F153" s="5" t="s">
        <v>19</v>
      </c>
      <c r="G153">
        <v>1</v>
      </c>
      <c r="H153">
        <v>300</v>
      </c>
      <c r="I153">
        <v>300</v>
      </c>
      <c r="J153" t="s">
        <v>20</v>
      </c>
      <c r="K153" t="s">
        <v>1028</v>
      </c>
      <c r="L153" t="s">
        <v>1038</v>
      </c>
      <c r="M153" t="s">
        <v>1047</v>
      </c>
      <c r="N153">
        <v>11</v>
      </c>
      <c r="O153" t="s">
        <v>1048</v>
      </c>
    </row>
    <row r="154" spans="1:15" x14ac:dyDescent="0.25">
      <c r="A154">
        <v>42</v>
      </c>
      <c r="B154" s="6">
        <v>44974</v>
      </c>
      <c r="C154" s="5" t="s">
        <v>174</v>
      </c>
      <c r="D154" s="5" t="s">
        <v>2</v>
      </c>
      <c r="E154">
        <v>22</v>
      </c>
      <c r="F154" s="5" t="s">
        <v>19</v>
      </c>
      <c r="G154">
        <v>3</v>
      </c>
      <c r="H154">
        <v>300</v>
      </c>
      <c r="I154">
        <v>900</v>
      </c>
      <c r="J154" t="s">
        <v>22</v>
      </c>
      <c r="K154" t="s">
        <v>1029</v>
      </c>
      <c r="L154" t="s">
        <v>1038</v>
      </c>
      <c r="M154" t="s">
        <v>1039</v>
      </c>
      <c r="N154">
        <v>2</v>
      </c>
      <c r="O154" t="s">
        <v>1044</v>
      </c>
    </row>
    <row r="155" spans="1:15" x14ac:dyDescent="0.25">
      <c r="A155">
        <v>43</v>
      </c>
      <c r="B155" s="6">
        <v>45121</v>
      </c>
      <c r="C155" s="5" t="s">
        <v>175</v>
      </c>
      <c r="D155" s="5" t="s">
        <v>1</v>
      </c>
      <c r="E155">
        <v>48</v>
      </c>
      <c r="F155" s="5" t="s">
        <v>19</v>
      </c>
      <c r="G155">
        <v>1</v>
      </c>
      <c r="H155">
        <v>300</v>
      </c>
      <c r="I155">
        <v>300</v>
      </c>
      <c r="J155" t="s">
        <v>20</v>
      </c>
      <c r="K155" t="s">
        <v>1028</v>
      </c>
      <c r="L155" t="s">
        <v>1038</v>
      </c>
      <c r="M155" t="s">
        <v>1033</v>
      </c>
      <c r="N155">
        <v>7</v>
      </c>
      <c r="O155" t="s">
        <v>1046</v>
      </c>
    </row>
    <row r="156" spans="1:15" x14ac:dyDescent="0.25">
      <c r="A156">
        <v>56</v>
      </c>
      <c r="B156" s="6">
        <v>45077</v>
      </c>
      <c r="C156" s="5" t="s">
        <v>176</v>
      </c>
      <c r="D156" s="5" t="s">
        <v>1</v>
      </c>
      <c r="E156">
        <v>26</v>
      </c>
      <c r="F156" s="5" t="s">
        <v>19</v>
      </c>
      <c r="G156">
        <v>3</v>
      </c>
      <c r="H156">
        <v>300</v>
      </c>
      <c r="I156">
        <v>900</v>
      </c>
      <c r="J156" t="s">
        <v>22</v>
      </c>
      <c r="K156" t="s">
        <v>1029</v>
      </c>
      <c r="L156" t="s">
        <v>1038</v>
      </c>
      <c r="M156" t="s">
        <v>1041</v>
      </c>
      <c r="N156">
        <v>5</v>
      </c>
      <c r="O156" t="s">
        <v>1032</v>
      </c>
    </row>
    <row r="157" spans="1:15" x14ac:dyDescent="0.25">
      <c r="A157">
        <v>58</v>
      </c>
      <c r="B157" s="6">
        <v>45243</v>
      </c>
      <c r="C157" s="5" t="s">
        <v>177</v>
      </c>
      <c r="D157" s="5" t="s">
        <v>2</v>
      </c>
      <c r="E157">
        <v>18</v>
      </c>
      <c r="F157" s="5" t="s">
        <v>19</v>
      </c>
      <c r="G157">
        <v>4</v>
      </c>
      <c r="H157">
        <v>300</v>
      </c>
      <c r="I157">
        <v>1200</v>
      </c>
      <c r="J157" t="s">
        <v>22</v>
      </c>
      <c r="K157" t="s">
        <v>1029</v>
      </c>
      <c r="L157" t="s">
        <v>1038</v>
      </c>
      <c r="M157" t="s">
        <v>1047</v>
      </c>
      <c r="N157">
        <v>11</v>
      </c>
      <c r="O157" t="s">
        <v>1048</v>
      </c>
    </row>
    <row r="158" spans="1:15" x14ac:dyDescent="0.25">
      <c r="A158">
        <v>70</v>
      </c>
      <c r="B158" s="6">
        <v>44978</v>
      </c>
      <c r="C158" s="5" t="s">
        <v>178</v>
      </c>
      <c r="D158" s="5" t="s">
        <v>1</v>
      </c>
      <c r="E158">
        <v>43</v>
      </c>
      <c r="F158" s="5" t="s">
        <v>19</v>
      </c>
      <c r="G158">
        <v>1</v>
      </c>
      <c r="H158">
        <v>300</v>
      </c>
      <c r="I158">
        <v>300</v>
      </c>
      <c r="J158" t="s">
        <v>20</v>
      </c>
      <c r="K158" t="s">
        <v>1028</v>
      </c>
      <c r="L158" t="s">
        <v>1038</v>
      </c>
      <c r="M158" t="s">
        <v>1039</v>
      </c>
      <c r="N158">
        <v>2</v>
      </c>
      <c r="O158" t="s">
        <v>1044</v>
      </c>
    </row>
    <row r="159" spans="1:15" x14ac:dyDescent="0.25">
      <c r="A159">
        <v>96</v>
      </c>
      <c r="B159" s="6">
        <v>45279</v>
      </c>
      <c r="C159" s="5" t="s">
        <v>179</v>
      </c>
      <c r="D159" s="5" t="s">
        <v>1</v>
      </c>
      <c r="E159">
        <v>44</v>
      </c>
      <c r="F159" s="5" t="s">
        <v>19</v>
      </c>
      <c r="G159">
        <v>2</v>
      </c>
      <c r="H159">
        <v>300</v>
      </c>
      <c r="I159">
        <v>600</v>
      </c>
      <c r="J159" t="s">
        <v>20</v>
      </c>
      <c r="K159" t="s">
        <v>1028</v>
      </c>
      <c r="L159" t="s">
        <v>1038</v>
      </c>
      <c r="M159" t="s">
        <v>1047</v>
      </c>
      <c r="N159">
        <v>12</v>
      </c>
      <c r="O159" t="s">
        <v>1052</v>
      </c>
    </row>
    <row r="160" spans="1:15" x14ac:dyDescent="0.25">
      <c r="A160">
        <v>101</v>
      </c>
      <c r="B160" s="6">
        <v>44955</v>
      </c>
      <c r="C160" s="5" t="s">
        <v>180</v>
      </c>
      <c r="D160" s="5" t="s">
        <v>2</v>
      </c>
      <c r="E160">
        <v>32</v>
      </c>
      <c r="F160" s="5" t="s">
        <v>19</v>
      </c>
      <c r="G160">
        <v>2</v>
      </c>
      <c r="H160">
        <v>300</v>
      </c>
      <c r="I160">
        <v>600</v>
      </c>
      <c r="J160" t="s">
        <v>20</v>
      </c>
      <c r="K160" t="s">
        <v>1028</v>
      </c>
      <c r="L160" t="s">
        <v>1038</v>
      </c>
      <c r="M160" t="s">
        <v>1039</v>
      </c>
      <c r="N160">
        <v>1</v>
      </c>
      <c r="O160" t="s">
        <v>1045</v>
      </c>
    </row>
    <row r="161" spans="1:15" x14ac:dyDescent="0.25">
      <c r="A161">
        <v>107</v>
      </c>
      <c r="B161" s="6">
        <v>44960</v>
      </c>
      <c r="C161" s="5" t="s">
        <v>181</v>
      </c>
      <c r="D161" s="5" t="s">
        <v>1</v>
      </c>
      <c r="E161">
        <v>21</v>
      </c>
      <c r="F161" s="5" t="s">
        <v>19</v>
      </c>
      <c r="G161">
        <v>4</v>
      </c>
      <c r="H161">
        <v>300</v>
      </c>
      <c r="I161">
        <v>1200</v>
      </c>
      <c r="J161" t="s">
        <v>22</v>
      </c>
      <c r="K161" t="s">
        <v>1029</v>
      </c>
      <c r="L161" t="s">
        <v>1038</v>
      </c>
      <c r="M161" t="s">
        <v>1039</v>
      </c>
      <c r="N161">
        <v>2</v>
      </c>
      <c r="O161" t="s">
        <v>1044</v>
      </c>
    </row>
    <row r="162" spans="1:15" x14ac:dyDescent="0.25">
      <c r="A162">
        <v>110</v>
      </c>
      <c r="B162" s="6">
        <v>45088</v>
      </c>
      <c r="C162" s="5" t="s">
        <v>182</v>
      </c>
      <c r="D162" s="5" t="s">
        <v>2</v>
      </c>
      <c r="E162">
        <v>27</v>
      </c>
      <c r="F162" s="5" t="s">
        <v>19</v>
      </c>
      <c r="G162">
        <v>3</v>
      </c>
      <c r="H162">
        <v>300</v>
      </c>
      <c r="I162">
        <v>900</v>
      </c>
      <c r="J162" t="s">
        <v>22</v>
      </c>
      <c r="K162" t="s">
        <v>1029</v>
      </c>
      <c r="L162" t="s">
        <v>1038</v>
      </c>
      <c r="M162" t="s">
        <v>1041</v>
      </c>
      <c r="N162">
        <v>6</v>
      </c>
      <c r="O162" t="s">
        <v>1050</v>
      </c>
    </row>
    <row r="163" spans="1:15" x14ac:dyDescent="0.25">
      <c r="A163">
        <v>165</v>
      </c>
      <c r="B163" s="6">
        <v>45183</v>
      </c>
      <c r="C163" s="5" t="s">
        <v>183</v>
      </c>
      <c r="D163" s="5" t="s">
        <v>1</v>
      </c>
      <c r="E163">
        <v>60</v>
      </c>
      <c r="F163" s="5" t="s">
        <v>19</v>
      </c>
      <c r="G163">
        <v>4</v>
      </c>
      <c r="H163">
        <v>300</v>
      </c>
      <c r="I163">
        <v>1200</v>
      </c>
      <c r="J163" t="s">
        <v>24</v>
      </c>
      <c r="K163" t="s">
        <v>1030</v>
      </c>
      <c r="L163" t="s">
        <v>1038</v>
      </c>
      <c r="M163" t="s">
        <v>1033</v>
      </c>
      <c r="N163">
        <v>9</v>
      </c>
      <c r="O163" t="s">
        <v>1043</v>
      </c>
    </row>
    <row r="164" spans="1:15" x14ac:dyDescent="0.25">
      <c r="A164">
        <v>168</v>
      </c>
      <c r="B164" s="6">
        <v>44981</v>
      </c>
      <c r="C164" s="5" t="s">
        <v>184</v>
      </c>
      <c r="D164" s="5" t="s">
        <v>2</v>
      </c>
      <c r="E164">
        <v>53</v>
      </c>
      <c r="F164" s="5" t="s">
        <v>19</v>
      </c>
      <c r="G164">
        <v>1</v>
      </c>
      <c r="H164">
        <v>300</v>
      </c>
      <c r="I164">
        <v>300</v>
      </c>
      <c r="J164" t="s">
        <v>20</v>
      </c>
      <c r="K164" t="s">
        <v>1028</v>
      </c>
      <c r="L164" t="s">
        <v>1038</v>
      </c>
      <c r="M164" t="s">
        <v>1039</v>
      </c>
      <c r="N164">
        <v>2</v>
      </c>
      <c r="O164" t="s">
        <v>1044</v>
      </c>
    </row>
    <row r="165" spans="1:15" x14ac:dyDescent="0.25">
      <c r="A165">
        <v>171</v>
      </c>
      <c r="B165" s="6">
        <v>45254</v>
      </c>
      <c r="C165" s="5" t="s">
        <v>185</v>
      </c>
      <c r="D165" s="5" t="s">
        <v>1</v>
      </c>
      <c r="E165">
        <v>52</v>
      </c>
      <c r="F165" s="5" t="s">
        <v>19</v>
      </c>
      <c r="G165">
        <v>3</v>
      </c>
      <c r="H165">
        <v>300</v>
      </c>
      <c r="I165">
        <v>900</v>
      </c>
      <c r="J165" t="s">
        <v>20</v>
      </c>
      <c r="K165" t="s">
        <v>1028</v>
      </c>
      <c r="L165" t="s">
        <v>1038</v>
      </c>
      <c r="M165" t="s">
        <v>1047</v>
      </c>
      <c r="N165">
        <v>11</v>
      </c>
      <c r="O165" t="s">
        <v>1048</v>
      </c>
    </row>
    <row r="166" spans="1:15" x14ac:dyDescent="0.25">
      <c r="A166">
        <v>180</v>
      </c>
      <c r="B166" s="6">
        <v>44927</v>
      </c>
      <c r="C166" s="5" t="s">
        <v>186</v>
      </c>
      <c r="D166" s="5" t="s">
        <v>2</v>
      </c>
      <c r="E166">
        <v>41</v>
      </c>
      <c r="F166" s="5" t="s">
        <v>19</v>
      </c>
      <c r="G166">
        <v>3</v>
      </c>
      <c r="H166">
        <v>300</v>
      </c>
      <c r="I166">
        <v>900</v>
      </c>
      <c r="J166" t="s">
        <v>20</v>
      </c>
      <c r="K166" t="s">
        <v>1028</v>
      </c>
      <c r="L166" t="s">
        <v>1038</v>
      </c>
      <c r="M166" t="s">
        <v>1039</v>
      </c>
      <c r="N166">
        <v>1</v>
      </c>
      <c r="O166" t="s">
        <v>1045</v>
      </c>
    </row>
    <row r="167" spans="1:15" x14ac:dyDescent="0.25">
      <c r="A167">
        <v>196</v>
      </c>
      <c r="B167" s="6">
        <v>45199</v>
      </c>
      <c r="C167" s="5" t="s">
        <v>187</v>
      </c>
      <c r="D167" s="5" t="s">
        <v>1</v>
      </c>
      <c r="E167">
        <v>32</v>
      </c>
      <c r="F167" s="5" t="s">
        <v>19</v>
      </c>
      <c r="G167">
        <v>3</v>
      </c>
      <c r="H167">
        <v>300</v>
      </c>
      <c r="I167">
        <v>900</v>
      </c>
      <c r="J167" t="s">
        <v>20</v>
      </c>
      <c r="K167" t="s">
        <v>1028</v>
      </c>
      <c r="L167" t="s">
        <v>1038</v>
      </c>
      <c r="M167" t="s">
        <v>1033</v>
      </c>
      <c r="N167">
        <v>9</v>
      </c>
      <c r="O167" t="s">
        <v>1043</v>
      </c>
    </row>
    <row r="168" spans="1:15" x14ac:dyDescent="0.25">
      <c r="A168">
        <v>202</v>
      </c>
      <c r="B168" s="6">
        <v>45011</v>
      </c>
      <c r="C168" s="5" t="s">
        <v>188</v>
      </c>
      <c r="D168" s="5" t="s">
        <v>1</v>
      </c>
      <c r="E168">
        <v>34</v>
      </c>
      <c r="F168" s="5" t="s">
        <v>19</v>
      </c>
      <c r="G168">
        <v>4</v>
      </c>
      <c r="H168">
        <v>300</v>
      </c>
      <c r="I168">
        <v>1200</v>
      </c>
      <c r="J168" t="s">
        <v>20</v>
      </c>
      <c r="K168" t="s">
        <v>1028</v>
      </c>
      <c r="L168" t="s">
        <v>1038</v>
      </c>
      <c r="M168" t="s">
        <v>1039</v>
      </c>
      <c r="N168">
        <v>3</v>
      </c>
      <c r="O168" t="s">
        <v>1040</v>
      </c>
    </row>
    <row r="169" spans="1:15" x14ac:dyDescent="0.25">
      <c r="A169">
        <v>248</v>
      </c>
      <c r="B169" s="6">
        <v>44994</v>
      </c>
      <c r="C169" s="5" t="s">
        <v>189</v>
      </c>
      <c r="D169" s="5" t="s">
        <v>2</v>
      </c>
      <c r="E169">
        <v>26</v>
      </c>
      <c r="F169" s="5" t="s">
        <v>19</v>
      </c>
      <c r="G169">
        <v>3</v>
      </c>
      <c r="H169">
        <v>300</v>
      </c>
      <c r="I169">
        <v>900</v>
      </c>
      <c r="J169" t="s">
        <v>22</v>
      </c>
      <c r="K169" t="s">
        <v>1029</v>
      </c>
      <c r="L169" t="s">
        <v>1038</v>
      </c>
      <c r="M169" t="s">
        <v>1039</v>
      </c>
      <c r="N169">
        <v>3</v>
      </c>
      <c r="O169" t="s">
        <v>1040</v>
      </c>
    </row>
    <row r="170" spans="1:15" x14ac:dyDescent="0.25">
      <c r="A170">
        <v>264</v>
      </c>
      <c r="B170" s="6">
        <v>44954</v>
      </c>
      <c r="C170" s="5" t="s">
        <v>190</v>
      </c>
      <c r="D170" s="5" t="s">
        <v>2</v>
      </c>
      <c r="E170">
        <v>47</v>
      </c>
      <c r="F170" s="5" t="s">
        <v>19</v>
      </c>
      <c r="G170">
        <v>3</v>
      </c>
      <c r="H170">
        <v>300</v>
      </c>
      <c r="I170">
        <v>900</v>
      </c>
      <c r="J170" t="s">
        <v>20</v>
      </c>
      <c r="K170" t="s">
        <v>1028</v>
      </c>
      <c r="L170" t="s">
        <v>1038</v>
      </c>
      <c r="M170" t="s">
        <v>1039</v>
      </c>
      <c r="N170">
        <v>1</v>
      </c>
      <c r="O170" t="s">
        <v>1045</v>
      </c>
    </row>
    <row r="171" spans="1:15" x14ac:dyDescent="0.25">
      <c r="A171">
        <v>265</v>
      </c>
      <c r="B171" s="6">
        <v>45271</v>
      </c>
      <c r="C171" s="5" t="s">
        <v>191</v>
      </c>
      <c r="D171" s="5" t="s">
        <v>2</v>
      </c>
      <c r="E171">
        <v>55</v>
      </c>
      <c r="F171" s="5" t="s">
        <v>19</v>
      </c>
      <c r="G171">
        <v>3</v>
      </c>
      <c r="H171">
        <v>300</v>
      </c>
      <c r="I171">
        <v>900</v>
      </c>
      <c r="J171" t="s">
        <v>20</v>
      </c>
      <c r="K171" t="s">
        <v>1028</v>
      </c>
      <c r="L171" t="s">
        <v>1038</v>
      </c>
      <c r="M171" t="s">
        <v>1047</v>
      </c>
      <c r="N171">
        <v>12</v>
      </c>
      <c r="O171" t="s">
        <v>1052</v>
      </c>
    </row>
    <row r="172" spans="1:15" x14ac:dyDescent="0.25">
      <c r="A172">
        <v>291</v>
      </c>
      <c r="B172" s="6">
        <v>44934</v>
      </c>
      <c r="C172" s="5" t="s">
        <v>192</v>
      </c>
      <c r="D172" s="5" t="s">
        <v>2</v>
      </c>
      <c r="E172">
        <v>60</v>
      </c>
      <c r="F172" s="5" t="s">
        <v>19</v>
      </c>
      <c r="G172">
        <v>2</v>
      </c>
      <c r="H172">
        <v>300</v>
      </c>
      <c r="I172">
        <v>600</v>
      </c>
      <c r="J172" t="s">
        <v>24</v>
      </c>
      <c r="K172" t="s">
        <v>1030</v>
      </c>
      <c r="L172" t="s">
        <v>1038</v>
      </c>
      <c r="M172" t="s">
        <v>1039</v>
      </c>
      <c r="N172">
        <v>1</v>
      </c>
      <c r="O172" t="s">
        <v>1045</v>
      </c>
    </row>
    <row r="173" spans="1:15" x14ac:dyDescent="0.25">
      <c r="A173">
        <v>296</v>
      </c>
      <c r="B173" s="6">
        <v>45175</v>
      </c>
      <c r="C173" s="5" t="s">
        <v>193</v>
      </c>
      <c r="D173" s="5" t="s">
        <v>1</v>
      </c>
      <c r="E173">
        <v>22</v>
      </c>
      <c r="F173" s="5" t="s">
        <v>19</v>
      </c>
      <c r="G173">
        <v>4</v>
      </c>
      <c r="H173">
        <v>300</v>
      </c>
      <c r="I173">
        <v>1200</v>
      </c>
      <c r="J173" t="s">
        <v>22</v>
      </c>
      <c r="K173" t="s">
        <v>1029</v>
      </c>
      <c r="L173" t="s">
        <v>1038</v>
      </c>
      <c r="M173" t="s">
        <v>1033</v>
      </c>
      <c r="N173">
        <v>9</v>
      </c>
      <c r="O173" t="s">
        <v>1043</v>
      </c>
    </row>
    <row r="174" spans="1:15" x14ac:dyDescent="0.25">
      <c r="A174">
        <v>340</v>
      </c>
      <c r="B174" s="6">
        <v>45218</v>
      </c>
      <c r="C174" s="5" t="s">
        <v>194</v>
      </c>
      <c r="D174" s="5" t="s">
        <v>1</v>
      </c>
      <c r="E174">
        <v>36</v>
      </c>
      <c r="F174" s="5" t="s">
        <v>19</v>
      </c>
      <c r="G174">
        <v>4</v>
      </c>
      <c r="H174">
        <v>300</v>
      </c>
      <c r="I174">
        <v>1200</v>
      </c>
      <c r="J174" t="s">
        <v>20</v>
      </c>
      <c r="K174" t="s">
        <v>1028</v>
      </c>
      <c r="L174" t="s">
        <v>1038</v>
      </c>
      <c r="M174" t="s">
        <v>1047</v>
      </c>
      <c r="N174">
        <v>10</v>
      </c>
      <c r="O174" t="s">
        <v>1049</v>
      </c>
    </row>
    <row r="175" spans="1:15" x14ac:dyDescent="0.25">
      <c r="A175">
        <v>365</v>
      </c>
      <c r="B175" s="6">
        <v>45088</v>
      </c>
      <c r="C175" s="5" t="s">
        <v>195</v>
      </c>
      <c r="D175" s="5" t="s">
        <v>2</v>
      </c>
      <c r="E175">
        <v>31</v>
      </c>
      <c r="F175" s="5" t="s">
        <v>19</v>
      </c>
      <c r="G175">
        <v>1</v>
      </c>
      <c r="H175">
        <v>300</v>
      </c>
      <c r="I175">
        <v>300</v>
      </c>
      <c r="J175" t="s">
        <v>20</v>
      </c>
      <c r="K175" t="s">
        <v>1028</v>
      </c>
      <c r="L175" t="s">
        <v>1038</v>
      </c>
      <c r="M175" t="s">
        <v>1041</v>
      </c>
      <c r="N175">
        <v>6</v>
      </c>
      <c r="O175" t="s">
        <v>1050</v>
      </c>
    </row>
    <row r="176" spans="1:15" x14ac:dyDescent="0.25">
      <c r="A176">
        <v>368</v>
      </c>
      <c r="B176" s="6">
        <v>45161</v>
      </c>
      <c r="C176" s="5" t="s">
        <v>196</v>
      </c>
      <c r="D176" s="5" t="s">
        <v>1</v>
      </c>
      <c r="E176">
        <v>56</v>
      </c>
      <c r="F176" s="5" t="s">
        <v>19</v>
      </c>
      <c r="G176">
        <v>4</v>
      </c>
      <c r="H176">
        <v>300</v>
      </c>
      <c r="I176">
        <v>1200</v>
      </c>
      <c r="J176" t="s">
        <v>24</v>
      </c>
      <c r="K176" t="s">
        <v>1030</v>
      </c>
      <c r="L176" t="s">
        <v>1038</v>
      </c>
      <c r="M176" t="s">
        <v>1033</v>
      </c>
      <c r="N176">
        <v>8</v>
      </c>
      <c r="O176" t="s">
        <v>1051</v>
      </c>
    </row>
    <row r="177" spans="1:15" x14ac:dyDescent="0.25">
      <c r="A177">
        <v>392</v>
      </c>
      <c r="B177" s="6">
        <v>45268</v>
      </c>
      <c r="C177" s="5" t="s">
        <v>197</v>
      </c>
      <c r="D177" s="5" t="s">
        <v>2</v>
      </c>
      <c r="E177">
        <v>27</v>
      </c>
      <c r="F177" s="5" t="s">
        <v>19</v>
      </c>
      <c r="G177">
        <v>2</v>
      </c>
      <c r="H177">
        <v>300</v>
      </c>
      <c r="I177">
        <v>600</v>
      </c>
      <c r="J177" t="s">
        <v>22</v>
      </c>
      <c r="K177" t="s">
        <v>1029</v>
      </c>
      <c r="L177" t="s">
        <v>1038</v>
      </c>
      <c r="M177" t="s">
        <v>1047</v>
      </c>
      <c r="N177">
        <v>12</v>
      </c>
      <c r="O177" t="s">
        <v>1052</v>
      </c>
    </row>
    <row r="178" spans="1:15" x14ac:dyDescent="0.25">
      <c r="A178">
        <v>398</v>
      </c>
      <c r="B178" s="6">
        <v>45062</v>
      </c>
      <c r="C178" s="5" t="s">
        <v>198</v>
      </c>
      <c r="D178" s="5" t="s">
        <v>1</v>
      </c>
      <c r="E178">
        <v>48</v>
      </c>
      <c r="F178" s="5" t="s">
        <v>19</v>
      </c>
      <c r="G178">
        <v>2</v>
      </c>
      <c r="H178">
        <v>300</v>
      </c>
      <c r="I178">
        <v>600</v>
      </c>
      <c r="J178" t="s">
        <v>20</v>
      </c>
      <c r="K178" t="s">
        <v>1028</v>
      </c>
      <c r="L178" t="s">
        <v>1038</v>
      </c>
      <c r="M178" t="s">
        <v>1041</v>
      </c>
      <c r="N178">
        <v>5</v>
      </c>
      <c r="O178" t="s">
        <v>1032</v>
      </c>
    </row>
    <row r="179" spans="1:15" x14ac:dyDescent="0.25">
      <c r="A179">
        <v>401</v>
      </c>
      <c r="B179" s="6">
        <v>45210</v>
      </c>
      <c r="C179" s="5" t="s">
        <v>199</v>
      </c>
      <c r="D179" s="5" t="s">
        <v>1</v>
      </c>
      <c r="E179">
        <v>62</v>
      </c>
      <c r="F179" s="5" t="s">
        <v>19</v>
      </c>
      <c r="G179">
        <v>1</v>
      </c>
      <c r="H179">
        <v>300</v>
      </c>
      <c r="I179">
        <v>300</v>
      </c>
      <c r="J179" t="s">
        <v>24</v>
      </c>
      <c r="K179" t="s">
        <v>1030</v>
      </c>
      <c r="L179" t="s">
        <v>1038</v>
      </c>
      <c r="M179" t="s">
        <v>1047</v>
      </c>
      <c r="N179">
        <v>10</v>
      </c>
      <c r="O179" t="s">
        <v>1049</v>
      </c>
    </row>
    <row r="180" spans="1:15" x14ac:dyDescent="0.25">
      <c r="A180">
        <v>402</v>
      </c>
      <c r="B180" s="6">
        <v>45006</v>
      </c>
      <c r="C180" s="5" t="s">
        <v>200</v>
      </c>
      <c r="D180" s="5" t="s">
        <v>1</v>
      </c>
      <c r="E180">
        <v>41</v>
      </c>
      <c r="F180" s="5" t="s">
        <v>19</v>
      </c>
      <c r="G180">
        <v>2</v>
      </c>
      <c r="H180">
        <v>300</v>
      </c>
      <c r="I180">
        <v>600</v>
      </c>
      <c r="J180" t="s">
        <v>20</v>
      </c>
      <c r="K180" t="s">
        <v>1028</v>
      </c>
      <c r="L180" t="s">
        <v>1038</v>
      </c>
      <c r="M180" t="s">
        <v>1039</v>
      </c>
      <c r="N180">
        <v>3</v>
      </c>
      <c r="O180" t="s">
        <v>1040</v>
      </c>
    </row>
    <row r="181" spans="1:15" x14ac:dyDescent="0.25">
      <c r="A181">
        <v>403</v>
      </c>
      <c r="B181" s="6">
        <v>45066</v>
      </c>
      <c r="C181" s="5" t="s">
        <v>201</v>
      </c>
      <c r="D181" s="5" t="s">
        <v>2</v>
      </c>
      <c r="E181">
        <v>32</v>
      </c>
      <c r="F181" s="5" t="s">
        <v>19</v>
      </c>
      <c r="G181">
        <v>2</v>
      </c>
      <c r="H181">
        <v>300</v>
      </c>
      <c r="I181">
        <v>600</v>
      </c>
      <c r="J181" t="s">
        <v>20</v>
      </c>
      <c r="K181" t="s">
        <v>1028</v>
      </c>
      <c r="L181" t="s">
        <v>1038</v>
      </c>
      <c r="M181" t="s">
        <v>1041</v>
      </c>
      <c r="N181">
        <v>5</v>
      </c>
      <c r="O181" t="s">
        <v>1032</v>
      </c>
    </row>
    <row r="182" spans="1:15" x14ac:dyDescent="0.25">
      <c r="A182">
        <v>405</v>
      </c>
      <c r="B182" s="6">
        <v>45236</v>
      </c>
      <c r="C182" s="5" t="s">
        <v>202</v>
      </c>
      <c r="D182" s="5" t="s">
        <v>1</v>
      </c>
      <c r="E182">
        <v>25</v>
      </c>
      <c r="F182" s="5" t="s">
        <v>19</v>
      </c>
      <c r="G182">
        <v>4</v>
      </c>
      <c r="H182">
        <v>300</v>
      </c>
      <c r="I182">
        <v>1200</v>
      </c>
      <c r="J182" t="s">
        <v>22</v>
      </c>
      <c r="K182" t="s">
        <v>1029</v>
      </c>
      <c r="L182" t="s">
        <v>1038</v>
      </c>
      <c r="M182" t="s">
        <v>1047</v>
      </c>
      <c r="N182">
        <v>11</v>
      </c>
      <c r="O182" t="s">
        <v>1048</v>
      </c>
    </row>
    <row r="183" spans="1:15" x14ac:dyDescent="0.25">
      <c r="A183">
        <v>440</v>
      </c>
      <c r="B183" s="6">
        <v>45225</v>
      </c>
      <c r="C183" s="5" t="s">
        <v>203</v>
      </c>
      <c r="D183" s="5" t="s">
        <v>2</v>
      </c>
      <c r="E183">
        <v>64</v>
      </c>
      <c r="F183" s="5" t="s">
        <v>19</v>
      </c>
      <c r="G183">
        <v>2</v>
      </c>
      <c r="H183">
        <v>300</v>
      </c>
      <c r="I183">
        <v>600</v>
      </c>
      <c r="J183" t="s">
        <v>24</v>
      </c>
      <c r="K183" t="s">
        <v>1030</v>
      </c>
      <c r="L183" t="s">
        <v>1038</v>
      </c>
      <c r="M183" t="s">
        <v>1047</v>
      </c>
      <c r="N183">
        <v>10</v>
      </c>
      <c r="O183" t="s">
        <v>1049</v>
      </c>
    </row>
    <row r="184" spans="1:15" x14ac:dyDescent="0.25">
      <c r="A184">
        <v>443</v>
      </c>
      <c r="B184" s="6">
        <v>45147</v>
      </c>
      <c r="C184" s="5" t="s">
        <v>204</v>
      </c>
      <c r="D184" s="5" t="s">
        <v>2</v>
      </c>
      <c r="E184">
        <v>29</v>
      </c>
      <c r="F184" s="5" t="s">
        <v>19</v>
      </c>
      <c r="G184">
        <v>2</v>
      </c>
      <c r="H184">
        <v>300</v>
      </c>
      <c r="I184">
        <v>600</v>
      </c>
      <c r="J184" t="s">
        <v>22</v>
      </c>
      <c r="K184" t="s">
        <v>1029</v>
      </c>
      <c r="L184" t="s">
        <v>1038</v>
      </c>
      <c r="M184" t="s">
        <v>1033</v>
      </c>
      <c r="N184">
        <v>8</v>
      </c>
      <c r="O184" t="s">
        <v>1051</v>
      </c>
    </row>
    <row r="185" spans="1:15" x14ac:dyDescent="0.25">
      <c r="A185">
        <v>459</v>
      </c>
      <c r="B185" s="6">
        <v>45006</v>
      </c>
      <c r="C185" s="5" t="s">
        <v>205</v>
      </c>
      <c r="D185" s="5" t="s">
        <v>2</v>
      </c>
      <c r="E185">
        <v>28</v>
      </c>
      <c r="F185" s="5" t="s">
        <v>19</v>
      </c>
      <c r="G185">
        <v>4</v>
      </c>
      <c r="H185">
        <v>300</v>
      </c>
      <c r="I185">
        <v>1200</v>
      </c>
      <c r="J185" t="s">
        <v>22</v>
      </c>
      <c r="K185" t="s">
        <v>1029</v>
      </c>
      <c r="L185" t="s">
        <v>1038</v>
      </c>
      <c r="M185" t="s">
        <v>1039</v>
      </c>
      <c r="N185">
        <v>3</v>
      </c>
      <c r="O185" t="s">
        <v>1040</v>
      </c>
    </row>
    <row r="186" spans="1:15" x14ac:dyDescent="0.25">
      <c r="A186">
        <v>482</v>
      </c>
      <c r="B186" s="6">
        <v>45043</v>
      </c>
      <c r="C186" s="5" t="s">
        <v>206</v>
      </c>
      <c r="D186" s="5" t="s">
        <v>1</v>
      </c>
      <c r="E186">
        <v>28</v>
      </c>
      <c r="F186" s="5" t="s">
        <v>19</v>
      </c>
      <c r="G186">
        <v>4</v>
      </c>
      <c r="H186">
        <v>300</v>
      </c>
      <c r="I186">
        <v>1200</v>
      </c>
      <c r="J186" t="s">
        <v>22</v>
      </c>
      <c r="K186" t="s">
        <v>1029</v>
      </c>
      <c r="L186" t="s">
        <v>1038</v>
      </c>
      <c r="M186" t="s">
        <v>1041</v>
      </c>
      <c r="N186">
        <v>4</v>
      </c>
      <c r="O186" t="s">
        <v>1042</v>
      </c>
    </row>
    <row r="187" spans="1:15" x14ac:dyDescent="0.25">
      <c r="A187">
        <v>484</v>
      </c>
      <c r="B187" s="6">
        <v>44939</v>
      </c>
      <c r="C187" s="5" t="s">
        <v>207</v>
      </c>
      <c r="D187" s="5" t="s">
        <v>1</v>
      </c>
      <c r="E187">
        <v>19</v>
      </c>
      <c r="F187" s="5" t="s">
        <v>19</v>
      </c>
      <c r="G187">
        <v>4</v>
      </c>
      <c r="H187">
        <v>300</v>
      </c>
      <c r="I187">
        <v>1200</v>
      </c>
      <c r="J187" t="s">
        <v>22</v>
      </c>
      <c r="K187" t="s">
        <v>1029</v>
      </c>
      <c r="L187" t="s">
        <v>1038</v>
      </c>
      <c r="M187" t="s">
        <v>1039</v>
      </c>
      <c r="N187">
        <v>1</v>
      </c>
      <c r="O187" t="s">
        <v>1045</v>
      </c>
    </row>
    <row r="188" spans="1:15" x14ac:dyDescent="0.25">
      <c r="A188">
        <v>496</v>
      </c>
      <c r="B188" s="6">
        <v>45274</v>
      </c>
      <c r="C188" s="5" t="s">
        <v>208</v>
      </c>
      <c r="D188" s="5" t="s">
        <v>2</v>
      </c>
      <c r="E188">
        <v>23</v>
      </c>
      <c r="F188" s="5" t="s">
        <v>19</v>
      </c>
      <c r="G188">
        <v>2</v>
      </c>
      <c r="H188">
        <v>300</v>
      </c>
      <c r="I188">
        <v>600</v>
      </c>
      <c r="J188" t="s">
        <v>22</v>
      </c>
      <c r="K188" t="s">
        <v>1029</v>
      </c>
      <c r="L188" t="s">
        <v>1038</v>
      </c>
      <c r="M188" t="s">
        <v>1047</v>
      </c>
      <c r="N188">
        <v>12</v>
      </c>
      <c r="O188" t="s">
        <v>1052</v>
      </c>
    </row>
    <row r="189" spans="1:15" x14ac:dyDescent="0.25">
      <c r="A189">
        <v>515</v>
      </c>
      <c r="B189" s="6">
        <v>45124</v>
      </c>
      <c r="C189" s="5" t="s">
        <v>209</v>
      </c>
      <c r="D189" s="5" t="s">
        <v>1</v>
      </c>
      <c r="E189">
        <v>49</v>
      </c>
      <c r="F189" s="5" t="s">
        <v>19</v>
      </c>
      <c r="G189">
        <v>3</v>
      </c>
      <c r="H189">
        <v>300</v>
      </c>
      <c r="I189">
        <v>900</v>
      </c>
      <c r="J189" t="s">
        <v>20</v>
      </c>
      <c r="K189" t="s">
        <v>1028</v>
      </c>
      <c r="L189" t="s">
        <v>1038</v>
      </c>
      <c r="M189" t="s">
        <v>1033</v>
      </c>
      <c r="N189">
        <v>7</v>
      </c>
      <c r="O189" t="s">
        <v>1046</v>
      </c>
    </row>
    <row r="190" spans="1:15" x14ac:dyDescent="0.25">
      <c r="A190">
        <v>550</v>
      </c>
      <c r="B190" s="6">
        <v>45267</v>
      </c>
      <c r="C190" s="5" t="s">
        <v>210</v>
      </c>
      <c r="D190" s="5" t="s">
        <v>2</v>
      </c>
      <c r="E190">
        <v>40</v>
      </c>
      <c r="F190" s="5" t="s">
        <v>19</v>
      </c>
      <c r="G190">
        <v>3</v>
      </c>
      <c r="H190">
        <v>300</v>
      </c>
      <c r="I190">
        <v>900</v>
      </c>
      <c r="J190" t="s">
        <v>20</v>
      </c>
      <c r="K190" t="s">
        <v>1028</v>
      </c>
      <c r="L190" t="s">
        <v>1038</v>
      </c>
      <c r="M190" t="s">
        <v>1047</v>
      </c>
      <c r="N190">
        <v>12</v>
      </c>
      <c r="O190" t="s">
        <v>1052</v>
      </c>
    </row>
    <row r="191" spans="1:15" x14ac:dyDescent="0.25">
      <c r="A191">
        <v>553</v>
      </c>
      <c r="B191" s="6">
        <v>45016</v>
      </c>
      <c r="C191" s="5" t="s">
        <v>211</v>
      </c>
      <c r="D191" s="5" t="s">
        <v>2</v>
      </c>
      <c r="E191">
        <v>24</v>
      </c>
      <c r="F191" s="5" t="s">
        <v>19</v>
      </c>
      <c r="G191">
        <v>4</v>
      </c>
      <c r="H191">
        <v>300</v>
      </c>
      <c r="I191">
        <v>1200</v>
      </c>
      <c r="J191" t="s">
        <v>22</v>
      </c>
      <c r="K191" t="s">
        <v>1029</v>
      </c>
      <c r="L191" t="s">
        <v>1038</v>
      </c>
      <c r="M191" t="s">
        <v>1039</v>
      </c>
      <c r="N191">
        <v>3</v>
      </c>
      <c r="O191" t="s">
        <v>1040</v>
      </c>
    </row>
    <row r="192" spans="1:15" x14ac:dyDescent="0.25">
      <c r="A192">
        <v>559</v>
      </c>
      <c r="B192" s="6">
        <v>44927</v>
      </c>
      <c r="C192" s="5" t="s">
        <v>212</v>
      </c>
      <c r="D192" s="5" t="s">
        <v>1</v>
      </c>
      <c r="E192">
        <v>40</v>
      </c>
      <c r="F192" s="5" t="s">
        <v>19</v>
      </c>
      <c r="G192">
        <v>4</v>
      </c>
      <c r="H192">
        <v>300</v>
      </c>
      <c r="I192">
        <v>1200</v>
      </c>
      <c r="J192" t="s">
        <v>20</v>
      </c>
      <c r="K192" t="s">
        <v>1028</v>
      </c>
      <c r="L192" t="s">
        <v>1038</v>
      </c>
      <c r="M192" t="s">
        <v>1039</v>
      </c>
      <c r="N192">
        <v>1</v>
      </c>
      <c r="O192" t="s">
        <v>1045</v>
      </c>
    </row>
    <row r="193" spans="1:15" x14ac:dyDescent="0.25">
      <c r="A193">
        <v>567</v>
      </c>
      <c r="B193" s="6">
        <v>45091</v>
      </c>
      <c r="C193" s="5" t="s">
        <v>213</v>
      </c>
      <c r="D193" s="5" t="s">
        <v>1</v>
      </c>
      <c r="E193">
        <v>25</v>
      </c>
      <c r="F193" s="5" t="s">
        <v>19</v>
      </c>
      <c r="G193">
        <v>3</v>
      </c>
      <c r="H193">
        <v>300</v>
      </c>
      <c r="I193">
        <v>900</v>
      </c>
      <c r="J193" t="s">
        <v>22</v>
      </c>
      <c r="K193" t="s">
        <v>1029</v>
      </c>
      <c r="L193" t="s">
        <v>1038</v>
      </c>
      <c r="M193" t="s">
        <v>1041</v>
      </c>
      <c r="N193">
        <v>6</v>
      </c>
      <c r="O193" t="s">
        <v>1050</v>
      </c>
    </row>
    <row r="194" spans="1:15" x14ac:dyDescent="0.25">
      <c r="A194">
        <v>582</v>
      </c>
      <c r="B194" s="6">
        <v>45244</v>
      </c>
      <c r="C194" s="5" t="s">
        <v>214</v>
      </c>
      <c r="D194" s="5" t="s">
        <v>2</v>
      </c>
      <c r="E194">
        <v>35</v>
      </c>
      <c r="F194" s="5" t="s">
        <v>19</v>
      </c>
      <c r="G194">
        <v>3</v>
      </c>
      <c r="H194">
        <v>300</v>
      </c>
      <c r="I194">
        <v>900</v>
      </c>
      <c r="J194" t="s">
        <v>20</v>
      </c>
      <c r="K194" t="s">
        <v>1028</v>
      </c>
      <c r="L194" t="s">
        <v>1038</v>
      </c>
      <c r="M194" t="s">
        <v>1047</v>
      </c>
      <c r="N194">
        <v>11</v>
      </c>
      <c r="O194" t="s">
        <v>1048</v>
      </c>
    </row>
    <row r="195" spans="1:15" x14ac:dyDescent="0.25">
      <c r="A195">
        <v>590</v>
      </c>
      <c r="B195" s="6">
        <v>45002</v>
      </c>
      <c r="C195" s="5" t="s">
        <v>215</v>
      </c>
      <c r="D195" s="5" t="s">
        <v>2</v>
      </c>
      <c r="E195">
        <v>36</v>
      </c>
      <c r="F195" s="5" t="s">
        <v>19</v>
      </c>
      <c r="G195">
        <v>3</v>
      </c>
      <c r="H195">
        <v>300</v>
      </c>
      <c r="I195">
        <v>900</v>
      </c>
      <c r="J195" t="s">
        <v>20</v>
      </c>
      <c r="K195" t="s">
        <v>1028</v>
      </c>
      <c r="L195" t="s">
        <v>1038</v>
      </c>
      <c r="M195" t="s">
        <v>1039</v>
      </c>
      <c r="N195">
        <v>3</v>
      </c>
      <c r="O195" t="s">
        <v>1040</v>
      </c>
    </row>
    <row r="196" spans="1:15" x14ac:dyDescent="0.25">
      <c r="A196">
        <v>625</v>
      </c>
      <c r="B196" s="6">
        <v>45268</v>
      </c>
      <c r="C196" s="5" t="s">
        <v>216</v>
      </c>
      <c r="D196" s="5" t="s">
        <v>2</v>
      </c>
      <c r="E196">
        <v>31</v>
      </c>
      <c r="F196" s="5" t="s">
        <v>19</v>
      </c>
      <c r="G196">
        <v>1</v>
      </c>
      <c r="H196">
        <v>300</v>
      </c>
      <c r="I196">
        <v>300</v>
      </c>
      <c r="J196" t="s">
        <v>20</v>
      </c>
      <c r="K196" t="s">
        <v>1028</v>
      </c>
      <c r="L196" t="s">
        <v>1038</v>
      </c>
      <c r="M196" t="s">
        <v>1047</v>
      </c>
      <c r="N196">
        <v>12</v>
      </c>
      <c r="O196" t="s">
        <v>1052</v>
      </c>
    </row>
    <row r="197" spans="1:15" x14ac:dyDescent="0.25">
      <c r="A197">
        <v>637</v>
      </c>
      <c r="B197" s="6">
        <v>45170</v>
      </c>
      <c r="C197" s="5" t="s">
        <v>217</v>
      </c>
      <c r="D197" s="5" t="s">
        <v>2</v>
      </c>
      <c r="E197">
        <v>43</v>
      </c>
      <c r="F197" s="5" t="s">
        <v>19</v>
      </c>
      <c r="G197">
        <v>2</v>
      </c>
      <c r="H197">
        <v>300</v>
      </c>
      <c r="I197">
        <v>600</v>
      </c>
      <c r="J197" t="s">
        <v>20</v>
      </c>
      <c r="K197" t="s">
        <v>1028</v>
      </c>
      <c r="L197" t="s">
        <v>1038</v>
      </c>
      <c r="M197" t="s">
        <v>1033</v>
      </c>
      <c r="N197">
        <v>9</v>
      </c>
      <c r="O197" t="s">
        <v>1043</v>
      </c>
    </row>
    <row r="198" spans="1:15" x14ac:dyDescent="0.25">
      <c r="A198">
        <v>649</v>
      </c>
      <c r="B198" s="6">
        <v>44966</v>
      </c>
      <c r="C198" s="5" t="s">
        <v>218</v>
      </c>
      <c r="D198" s="5" t="s">
        <v>1</v>
      </c>
      <c r="E198">
        <v>58</v>
      </c>
      <c r="F198" s="5" t="s">
        <v>19</v>
      </c>
      <c r="G198">
        <v>2</v>
      </c>
      <c r="H198">
        <v>300</v>
      </c>
      <c r="I198">
        <v>600</v>
      </c>
      <c r="J198" t="s">
        <v>24</v>
      </c>
      <c r="K198" t="s">
        <v>1030</v>
      </c>
      <c r="L198" t="s">
        <v>1038</v>
      </c>
      <c r="M198" t="s">
        <v>1039</v>
      </c>
      <c r="N198">
        <v>2</v>
      </c>
      <c r="O198" t="s">
        <v>1044</v>
      </c>
    </row>
    <row r="199" spans="1:15" x14ac:dyDescent="0.25">
      <c r="A199">
        <v>663</v>
      </c>
      <c r="B199" s="6">
        <v>45005</v>
      </c>
      <c r="C199" s="5" t="s">
        <v>219</v>
      </c>
      <c r="D199" s="5" t="s">
        <v>2</v>
      </c>
      <c r="E199">
        <v>23</v>
      </c>
      <c r="F199" s="5" t="s">
        <v>19</v>
      </c>
      <c r="G199">
        <v>4</v>
      </c>
      <c r="H199">
        <v>300</v>
      </c>
      <c r="I199">
        <v>1200</v>
      </c>
      <c r="J199" t="s">
        <v>22</v>
      </c>
      <c r="K199" t="s">
        <v>1029</v>
      </c>
      <c r="L199" t="s">
        <v>1038</v>
      </c>
      <c r="M199" t="s">
        <v>1039</v>
      </c>
      <c r="N199">
        <v>3</v>
      </c>
      <c r="O199" t="s">
        <v>1040</v>
      </c>
    </row>
    <row r="200" spans="1:15" x14ac:dyDescent="0.25">
      <c r="A200">
        <v>674</v>
      </c>
      <c r="B200" s="6">
        <v>45032</v>
      </c>
      <c r="C200" s="5" t="s">
        <v>220</v>
      </c>
      <c r="D200" s="5" t="s">
        <v>1</v>
      </c>
      <c r="E200">
        <v>38</v>
      </c>
      <c r="F200" s="5" t="s">
        <v>19</v>
      </c>
      <c r="G200">
        <v>1</v>
      </c>
      <c r="H200">
        <v>300</v>
      </c>
      <c r="I200">
        <v>300</v>
      </c>
      <c r="J200" t="s">
        <v>20</v>
      </c>
      <c r="K200" t="s">
        <v>1028</v>
      </c>
      <c r="L200" t="s">
        <v>1038</v>
      </c>
      <c r="M200" t="s">
        <v>1041</v>
      </c>
      <c r="N200">
        <v>4</v>
      </c>
      <c r="O200" t="s">
        <v>1042</v>
      </c>
    </row>
    <row r="201" spans="1:15" x14ac:dyDescent="0.25">
      <c r="A201">
        <v>680</v>
      </c>
      <c r="B201" s="6">
        <v>45221</v>
      </c>
      <c r="C201" s="5" t="s">
        <v>221</v>
      </c>
      <c r="D201" s="5" t="s">
        <v>1</v>
      </c>
      <c r="E201">
        <v>53</v>
      </c>
      <c r="F201" s="5" t="s">
        <v>19</v>
      </c>
      <c r="G201">
        <v>3</v>
      </c>
      <c r="H201">
        <v>300</v>
      </c>
      <c r="I201">
        <v>900</v>
      </c>
      <c r="J201" t="s">
        <v>20</v>
      </c>
      <c r="K201" t="s">
        <v>1028</v>
      </c>
      <c r="L201" t="s">
        <v>1038</v>
      </c>
      <c r="M201" t="s">
        <v>1047</v>
      </c>
      <c r="N201">
        <v>10</v>
      </c>
      <c r="O201" t="s">
        <v>1049</v>
      </c>
    </row>
    <row r="202" spans="1:15" x14ac:dyDescent="0.25">
      <c r="A202">
        <v>690</v>
      </c>
      <c r="B202" s="6">
        <v>45235</v>
      </c>
      <c r="C202" s="5" t="s">
        <v>222</v>
      </c>
      <c r="D202" s="5" t="s">
        <v>1</v>
      </c>
      <c r="E202">
        <v>52</v>
      </c>
      <c r="F202" s="5" t="s">
        <v>19</v>
      </c>
      <c r="G202">
        <v>3</v>
      </c>
      <c r="H202">
        <v>300</v>
      </c>
      <c r="I202">
        <v>900</v>
      </c>
      <c r="J202" t="s">
        <v>20</v>
      </c>
      <c r="K202" t="s">
        <v>1028</v>
      </c>
      <c r="L202" t="s">
        <v>1038</v>
      </c>
      <c r="M202" t="s">
        <v>1047</v>
      </c>
      <c r="N202">
        <v>11</v>
      </c>
      <c r="O202" t="s">
        <v>1048</v>
      </c>
    </row>
    <row r="203" spans="1:15" x14ac:dyDescent="0.25">
      <c r="A203">
        <v>702</v>
      </c>
      <c r="B203" s="6">
        <v>45134</v>
      </c>
      <c r="C203" s="5" t="s">
        <v>223</v>
      </c>
      <c r="D203" s="5" t="s">
        <v>1</v>
      </c>
      <c r="E203">
        <v>60</v>
      </c>
      <c r="F203" s="5" t="s">
        <v>19</v>
      </c>
      <c r="G203">
        <v>2</v>
      </c>
      <c r="H203">
        <v>300</v>
      </c>
      <c r="I203">
        <v>600</v>
      </c>
      <c r="J203" t="s">
        <v>24</v>
      </c>
      <c r="K203" t="s">
        <v>1030</v>
      </c>
      <c r="L203" t="s">
        <v>1038</v>
      </c>
      <c r="M203" t="s">
        <v>1033</v>
      </c>
      <c r="N203">
        <v>7</v>
      </c>
      <c r="O203" t="s">
        <v>1046</v>
      </c>
    </row>
    <row r="204" spans="1:15" x14ac:dyDescent="0.25">
      <c r="A204">
        <v>716</v>
      </c>
      <c r="B204" s="6">
        <v>45146</v>
      </c>
      <c r="C204" s="5" t="s">
        <v>224</v>
      </c>
      <c r="D204" s="5" t="s">
        <v>1</v>
      </c>
      <c r="E204">
        <v>60</v>
      </c>
      <c r="F204" s="5" t="s">
        <v>19</v>
      </c>
      <c r="G204">
        <v>4</v>
      </c>
      <c r="H204">
        <v>300</v>
      </c>
      <c r="I204">
        <v>1200</v>
      </c>
      <c r="J204" t="s">
        <v>24</v>
      </c>
      <c r="K204" t="s">
        <v>1030</v>
      </c>
      <c r="L204" t="s">
        <v>1038</v>
      </c>
      <c r="M204" t="s">
        <v>1033</v>
      </c>
      <c r="N204">
        <v>8</v>
      </c>
      <c r="O204" t="s">
        <v>1051</v>
      </c>
    </row>
    <row r="205" spans="1:15" x14ac:dyDescent="0.25">
      <c r="A205">
        <v>726</v>
      </c>
      <c r="B205" s="6">
        <v>45094</v>
      </c>
      <c r="C205" s="5" t="s">
        <v>225</v>
      </c>
      <c r="D205" s="5" t="s">
        <v>2</v>
      </c>
      <c r="E205">
        <v>47</v>
      </c>
      <c r="F205" s="5" t="s">
        <v>19</v>
      </c>
      <c r="G205">
        <v>4</v>
      </c>
      <c r="H205">
        <v>300</v>
      </c>
      <c r="I205">
        <v>1200</v>
      </c>
      <c r="J205" t="s">
        <v>20</v>
      </c>
      <c r="K205" t="s">
        <v>1028</v>
      </c>
      <c r="L205" t="s">
        <v>1038</v>
      </c>
      <c r="M205" t="s">
        <v>1041</v>
      </c>
      <c r="N205">
        <v>6</v>
      </c>
      <c r="O205" t="s">
        <v>1050</v>
      </c>
    </row>
    <row r="206" spans="1:15" x14ac:dyDescent="0.25">
      <c r="A206">
        <v>729</v>
      </c>
      <c r="B206" s="6">
        <v>45069</v>
      </c>
      <c r="C206" s="5" t="s">
        <v>226</v>
      </c>
      <c r="D206" s="5" t="s">
        <v>2</v>
      </c>
      <c r="E206">
        <v>29</v>
      </c>
      <c r="F206" s="5" t="s">
        <v>19</v>
      </c>
      <c r="G206">
        <v>4</v>
      </c>
      <c r="H206">
        <v>300</v>
      </c>
      <c r="I206">
        <v>1200</v>
      </c>
      <c r="J206" t="s">
        <v>22</v>
      </c>
      <c r="K206" t="s">
        <v>1029</v>
      </c>
      <c r="L206" t="s">
        <v>1038</v>
      </c>
      <c r="M206" t="s">
        <v>1041</v>
      </c>
      <c r="N206">
        <v>5</v>
      </c>
      <c r="O206" t="s">
        <v>1032</v>
      </c>
    </row>
    <row r="207" spans="1:15" x14ac:dyDescent="0.25">
      <c r="A207">
        <v>741</v>
      </c>
      <c r="B207" s="6">
        <v>45260</v>
      </c>
      <c r="C207" s="5" t="s">
        <v>227</v>
      </c>
      <c r="D207" s="5" t="s">
        <v>2</v>
      </c>
      <c r="E207">
        <v>48</v>
      </c>
      <c r="F207" s="5" t="s">
        <v>19</v>
      </c>
      <c r="G207">
        <v>1</v>
      </c>
      <c r="H207">
        <v>300</v>
      </c>
      <c r="I207">
        <v>300</v>
      </c>
      <c r="J207" t="s">
        <v>20</v>
      </c>
      <c r="K207" t="s">
        <v>1028</v>
      </c>
      <c r="L207" t="s">
        <v>1038</v>
      </c>
      <c r="M207" t="s">
        <v>1047</v>
      </c>
      <c r="N207">
        <v>11</v>
      </c>
      <c r="O207" t="s">
        <v>1048</v>
      </c>
    </row>
    <row r="208" spans="1:15" x14ac:dyDescent="0.25">
      <c r="A208">
        <v>782</v>
      </c>
      <c r="B208" s="6">
        <v>45081</v>
      </c>
      <c r="C208" s="5" t="s">
        <v>228</v>
      </c>
      <c r="D208" s="5" t="s">
        <v>2</v>
      </c>
      <c r="E208">
        <v>59</v>
      </c>
      <c r="F208" s="5" t="s">
        <v>19</v>
      </c>
      <c r="G208">
        <v>3</v>
      </c>
      <c r="H208">
        <v>300</v>
      </c>
      <c r="I208">
        <v>900</v>
      </c>
      <c r="J208" t="s">
        <v>24</v>
      </c>
      <c r="K208" t="s">
        <v>1030</v>
      </c>
      <c r="L208" t="s">
        <v>1038</v>
      </c>
      <c r="M208" t="s">
        <v>1041</v>
      </c>
      <c r="N208">
        <v>6</v>
      </c>
      <c r="O208" t="s">
        <v>1050</v>
      </c>
    </row>
    <row r="209" spans="1:15" x14ac:dyDescent="0.25">
      <c r="A209">
        <v>783</v>
      </c>
      <c r="B209" s="6">
        <v>45277</v>
      </c>
      <c r="C209" s="5" t="s">
        <v>229</v>
      </c>
      <c r="D209" s="5" t="s">
        <v>1</v>
      </c>
      <c r="E209">
        <v>56</v>
      </c>
      <c r="F209" s="5" t="s">
        <v>19</v>
      </c>
      <c r="G209">
        <v>1</v>
      </c>
      <c r="H209">
        <v>300</v>
      </c>
      <c r="I209">
        <v>300</v>
      </c>
      <c r="J209" t="s">
        <v>24</v>
      </c>
      <c r="K209" t="s">
        <v>1030</v>
      </c>
      <c r="L209" t="s">
        <v>1038</v>
      </c>
      <c r="M209" t="s">
        <v>1047</v>
      </c>
      <c r="N209">
        <v>12</v>
      </c>
      <c r="O209" t="s">
        <v>1052</v>
      </c>
    </row>
    <row r="210" spans="1:15" x14ac:dyDescent="0.25">
      <c r="A210">
        <v>800</v>
      </c>
      <c r="B210" s="6">
        <v>44981</v>
      </c>
      <c r="C210" s="5" t="s">
        <v>230</v>
      </c>
      <c r="D210" s="5" t="s">
        <v>2</v>
      </c>
      <c r="E210">
        <v>32</v>
      </c>
      <c r="F210" s="5" t="s">
        <v>19</v>
      </c>
      <c r="G210">
        <v>4</v>
      </c>
      <c r="H210">
        <v>300</v>
      </c>
      <c r="I210">
        <v>1200</v>
      </c>
      <c r="J210" t="s">
        <v>20</v>
      </c>
      <c r="K210" t="s">
        <v>1028</v>
      </c>
      <c r="L210" t="s">
        <v>1038</v>
      </c>
      <c r="M210" t="s">
        <v>1039</v>
      </c>
      <c r="N210">
        <v>2</v>
      </c>
      <c r="O210" t="s">
        <v>1044</v>
      </c>
    </row>
    <row r="211" spans="1:15" x14ac:dyDescent="0.25">
      <c r="A211">
        <v>826</v>
      </c>
      <c r="B211" s="6">
        <v>45218</v>
      </c>
      <c r="C211" s="5" t="s">
        <v>231</v>
      </c>
      <c r="D211" s="5" t="s">
        <v>1</v>
      </c>
      <c r="E211">
        <v>46</v>
      </c>
      <c r="F211" s="5" t="s">
        <v>19</v>
      </c>
      <c r="G211">
        <v>1</v>
      </c>
      <c r="H211">
        <v>300</v>
      </c>
      <c r="I211">
        <v>300</v>
      </c>
      <c r="J211" t="s">
        <v>20</v>
      </c>
      <c r="K211" t="s">
        <v>1028</v>
      </c>
      <c r="L211" t="s">
        <v>1038</v>
      </c>
      <c r="M211" t="s">
        <v>1047</v>
      </c>
      <c r="N211">
        <v>10</v>
      </c>
      <c r="O211" t="s">
        <v>1049</v>
      </c>
    </row>
    <row r="212" spans="1:15" x14ac:dyDescent="0.25">
      <c r="A212">
        <v>842</v>
      </c>
      <c r="B212" s="6">
        <v>45286</v>
      </c>
      <c r="C212" s="5" t="s">
        <v>232</v>
      </c>
      <c r="D212" s="5" t="s">
        <v>1</v>
      </c>
      <c r="E212">
        <v>47</v>
      </c>
      <c r="F212" s="5" t="s">
        <v>19</v>
      </c>
      <c r="G212">
        <v>2</v>
      </c>
      <c r="H212">
        <v>300</v>
      </c>
      <c r="I212">
        <v>600</v>
      </c>
      <c r="J212" t="s">
        <v>20</v>
      </c>
      <c r="K212" t="s">
        <v>1028</v>
      </c>
      <c r="L212" t="s">
        <v>1038</v>
      </c>
      <c r="M212" t="s">
        <v>1047</v>
      </c>
      <c r="N212">
        <v>12</v>
      </c>
      <c r="O212" t="s">
        <v>1052</v>
      </c>
    </row>
    <row r="213" spans="1:15" x14ac:dyDescent="0.25">
      <c r="A213">
        <v>852</v>
      </c>
      <c r="B213" s="6">
        <v>45211</v>
      </c>
      <c r="C213" s="5" t="s">
        <v>233</v>
      </c>
      <c r="D213" s="5" t="s">
        <v>1</v>
      </c>
      <c r="E213">
        <v>41</v>
      </c>
      <c r="F213" s="5" t="s">
        <v>19</v>
      </c>
      <c r="G213">
        <v>1</v>
      </c>
      <c r="H213">
        <v>300</v>
      </c>
      <c r="I213">
        <v>300</v>
      </c>
      <c r="J213" t="s">
        <v>20</v>
      </c>
      <c r="K213" t="s">
        <v>1028</v>
      </c>
      <c r="L213" t="s">
        <v>1038</v>
      </c>
      <c r="M213" t="s">
        <v>1047</v>
      </c>
      <c r="N213">
        <v>10</v>
      </c>
      <c r="O213" t="s">
        <v>1049</v>
      </c>
    </row>
    <row r="214" spans="1:15" x14ac:dyDescent="0.25">
      <c r="A214">
        <v>865</v>
      </c>
      <c r="B214" s="6">
        <v>45281</v>
      </c>
      <c r="C214" s="5" t="s">
        <v>234</v>
      </c>
      <c r="D214" s="5" t="s">
        <v>1</v>
      </c>
      <c r="E214">
        <v>42</v>
      </c>
      <c r="F214" s="5" t="s">
        <v>19</v>
      </c>
      <c r="G214">
        <v>1</v>
      </c>
      <c r="H214">
        <v>300</v>
      </c>
      <c r="I214">
        <v>300</v>
      </c>
      <c r="J214" t="s">
        <v>20</v>
      </c>
      <c r="K214" t="s">
        <v>1028</v>
      </c>
      <c r="L214" t="s">
        <v>1038</v>
      </c>
      <c r="M214" t="s">
        <v>1047</v>
      </c>
      <c r="N214">
        <v>12</v>
      </c>
      <c r="O214" t="s">
        <v>1052</v>
      </c>
    </row>
    <row r="215" spans="1:15" x14ac:dyDescent="0.25">
      <c r="A215">
        <v>899</v>
      </c>
      <c r="B215" s="6">
        <v>45071</v>
      </c>
      <c r="C215" s="5" t="s">
        <v>235</v>
      </c>
      <c r="D215" s="5" t="s">
        <v>2</v>
      </c>
      <c r="E215">
        <v>26</v>
      </c>
      <c r="F215" s="5" t="s">
        <v>19</v>
      </c>
      <c r="G215">
        <v>2</v>
      </c>
      <c r="H215">
        <v>300</v>
      </c>
      <c r="I215">
        <v>600</v>
      </c>
      <c r="J215" t="s">
        <v>22</v>
      </c>
      <c r="K215" t="s">
        <v>1029</v>
      </c>
      <c r="L215" t="s">
        <v>1038</v>
      </c>
      <c r="M215" t="s">
        <v>1041</v>
      </c>
      <c r="N215">
        <v>5</v>
      </c>
      <c r="O215" t="s">
        <v>1032</v>
      </c>
    </row>
    <row r="216" spans="1:15" x14ac:dyDescent="0.25">
      <c r="A216">
        <v>928</v>
      </c>
      <c r="B216" s="6">
        <v>45021</v>
      </c>
      <c r="C216" s="5" t="s">
        <v>236</v>
      </c>
      <c r="D216" s="5" t="s">
        <v>1</v>
      </c>
      <c r="E216">
        <v>35</v>
      </c>
      <c r="F216" s="5" t="s">
        <v>19</v>
      </c>
      <c r="G216">
        <v>4</v>
      </c>
      <c r="H216">
        <v>300</v>
      </c>
      <c r="I216">
        <v>1200</v>
      </c>
      <c r="J216" t="s">
        <v>20</v>
      </c>
      <c r="K216" t="s">
        <v>1028</v>
      </c>
      <c r="L216" t="s">
        <v>1038</v>
      </c>
      <c r="M216" t="s">
        <v>1041</v>
      </c>
      <c r="N216">
        <v>4</v>
      </c>
      <c r="O216" t="s">
        <v>1042</v>
      </c>
    </row>
    <row r="217" spans="1:15" x14ac:dyDescent="0.25">
      <c r="A217">
        <v>943</v>
      </c>
      <c r="B217" s="6">
        <v>45215</v>
      </c>
      <c r="C217" s="5" t="s">
        <v>237</v>
      </c>
      <c r="D217" s="5" t="s">
        <v>1</v>
      </c>
      <c r="E217">
        <v>57</v>
      </c>
      <c r="F217" s="5" t="s">
        <v>19</v>
      </c>
      <c r="G217">
        <v>4</v>
      </c>
      <c r="H217">
        <v>300</v>
      </c>
      <c r="I217">
        <v>1200</v>
      </c>
      <c r="J217" t="s">
        <v>24</v>
      </c>
      <c r="K217" t="s">
        <v>1030</v>
      </c>
      <c r="L217" t="s">
        <v>1038</v>
      </c>
      <c r="M217" t="s">
        <v>1047</v>
      </c>
      <c r="N217">
        <v>10</v>
      </c>
      <c r="O217" t="s">
        <v>1049</v>
      </c>
    </row>
    <row r="218" spans="1:15" x14ac:dyDescent="0.25">
      <c r="A218">
        <v>950</v>
      </c>
      <c r="B218" s="6">
        <v>45237</v>
      </c>
      <c r="C218" s="5" t="s">
        <v>238</v>
      </c>
      <c r="D218" s="5" t="s">
        <v>2</v>
      </c>
      <c r="E218">
        <v>36</v>
      </c>
      <c r="F218" s="5" t="s">
        <v>19</v>
      </c>
      <c r="G218">
        <v>3</v>
      </c>
      <c r="H218">
        <v>300</v>
      </c>
      <c r="I218">
        <v>900</v>
      </c>
      <c r="J218" t="s">
        <v>20</v>
      </c>
      <c r="K218" t="s">
        <v>1028</v>
      </c>
      <c r="L218" t="s">
        <v>1038</v>
      </c>
      <c r="M218" t="s">
        <v>1047</v>
      </c>
      <c r="N218">
        <v>11</v>
      </c>
      <c r="O218" t="s">
        <v>1048</v>
      </c>
    </row>
    <row r="219" spans="1:15" x14ac:dyDescent="0.25">
      <c r="A219">
        <v>964</v>
      </c>
      <c r="B219" s="6">
        <v>44957</v>
      </c>
      <c r="C219" s="5" t="s">
        <v>239</v>
      </c>
      <c r="D219" s="5" t="s">
        <v>2</v>
      </c>
      <c r="E219">
        <v>24</v>
      </c>
      <c r="F219" s="5" t="s">
        <v>19</v>
      </c>
      <c r="G219">
        <v>3</v>
      </c>
      <c r="H219">
        <v>300</v>
      </c>
      <c r="I219">
        <v>900</v>
      </c>
      <c r="J219" t="s">
        <v>22</v>
      </c>
      <c r="K219" t="s">
        <v>1029</v>
      </c>
      <c r="L219" t="s">
        <v>1038</v>
      </c>
      <c r="M219" t="s">
        <v>1039</v>
      </c>
      <c r="N219">
        <v>1</v>
      </c>
      <c r="O219" t="s">
        <v>1045</v>
      </c>
    </row>
    <row r="220" spans="1:15" x14ac:dyDescent="0.25">
      <c r="A220">
        <v>968</v>
      </c>
      <c r="B220" s="6">
        <v>45247</v>
      </c>
      <c r="C220" s="5" t="s">
        <v>240</v>
      </c>
      <c r="D220" s="5" t="s">
        <v>1</v>
      </c>
      <c r="E220">
        <v>48</v>
      </c>
      <c r="F220" s="5" t="s">
        <v>19</v>
      </c>
      <c r="G220">
        <v>3</v>
      </c>
      <c r="H220">
        <v>300</v>
      </c>
      <c r="I220">
        <v>900</v>
      </c>
      <c r="J220" t="s">
        <v>20</v>
      </c>
      <c r="K220" t="s">
        <v>1028</v>
      </c>
      <c r="L220" t="s">
        <v>1038</v>
      </c>
      <c r="M220" t="s">
        <v>1047</v>
      </c>
      <c r="N220">
        <v>11</v>
      </c>
      <c r="O220" t="s">
        <v>1048</v>
      </c>
    </row>
    <row r="221" spans="1:15" x14ac:dyDescent="0.25">
      <c r="A221">
        <v>969</v>
      </c>
      <c r="B221" s="6">
        <v>45035</v>
      </c>
      <c r="C221" s="5" t="s">
        <v>241</v>
      </c>
      <c r="D221" s="5" t="s">
        <v>1</v>
      </c>
      <c r="E221">
        <v>40</v>
      </c>
      <c r="F221" s="5" t="s">
        <v>19</v>
      </c>
      <c r="G221">
        <v>3</v>
      </c>
      <c r="H221">
        <v>300</v>
      </c>
      <c r="I221">
        <v>900</v>
      </c>
      <c r="J221" t="s">
        <v>20</v>
      </c>
      <c r="K221" t="s">
        <v>1028</v>
      </c>
      <c r="L221" t="s">
        <v>1038</v>
      </c>
      <c r="M221" t="s">
        <v>1041</v>
      </c>
      <c r="N221">
        <v>4</v>
      </c>
      <c r="O221" t="s">
        <v>1042</v>
      </c>
    </row>
    <row r="222" spans="1:15" x14ac:dyDescent="0.25">
      <c r="A222">
        <v>983</v>
      </c>
      <c r="B222" s="6">
        <v>45231</v>
      </c>
      <c r="C222" s="5" t="s">
        <v>242</v>
      </c>
      <c r="D222" s="5" t="s">
        <v>1</v>
      </c>
      <c r="E222">
        <v>29</v>
      </c>
      <c r="F222" s="5" t="s">
        <v>19</v>
      </c>
      <c r="G222">
        <v>1</v>
      </c>
      <c r="H222">
        <v>300</v>
      </c>
      <c r="I222">
        <v>300</v>
      </c>
      <c r="J222" t="s">
        <v>22</v>
      </c>
      <c r="K222" t="s">
        <v>1029</v>
      </c>
      <c r="L222" t="s">
        <v>1038</v>
      </c>
      <c r="M222" t="s">
        <v>1047</v>
      </c>
      <c r="N222">
        <v>11</v>
      </c>
      <c r="O222" t="s">
        <v>1048</v>
      </c>
    </row>
    <row r="223" spans="1:15" x14ac:dyDescent="0.25">
      <c r="A223">
        <v>987</v>
      </c>
      <c r="B223" s="6">
        <v>45045</v>
      </c>
      <c r="C223" s="5" t="s">
        <v>243</v>
      </c>
      <c r="D223" s="5" t="s">
        <v>1</v>
      </c>
      <c r="E223">
        <v>30</v>
      </c>
      <c r="F223" s="5" t="s">
        <v>19</v>
      </c>
      <c r="G223">
        <v>3</v>
      </c>
      <c r="H223">
        <v>300</v>
      </c>
      <c r="I223">
        <v>900</v>
      </c>
      <c r="J223" t="s">
        <v>20</v>
      </c>
      <c r="K223" t="s">
        <v>1028</v>
      </c>
      <c r="L223" t="s">
        <v>1038</v>
      </c>
      <c r="M223" t="s">
        <v>1041</v>
      </c>
      <c r="N223">
        <v>4</v>
      </c>
      <c r="O223" t="s">
        <v>1042</v>
      </c>
    </row>
    <row r="224" spans="1:15" x14ac:dyDescent="0.25">
      <c r="A224">
        <v>14</v>
      </c>
      <c r="B224" s="6">
        <v>44943</v>
      </c>
      <c r="C224" s="5" t="s">
        <v>244</v>
      </c>
      <c r="D224" s="5" t="s">
        <v>2</v>
      </c>
      <c r="E224">
        <v>64</v>
      </c>
      <c r="F224" s="5" t="s">
        <v>19</v>
      </c>
      <c r="G224">
        <v>4</v>
      </c>
      <c r="H224">
        <v>30</v>
      </c>
      <c r="I224">
        <v>120</v>
      </c>
      <c r="J224" t="s">
        <v>24</v>
      </c>
      <c r="K224" t="s">
        <v>1030</v>
      </c>
      <c r="L224" t="s">
        <v>1038</v>
      </c>
      <c r="M224" t="s">
        <v>1039</v>
      </c>
      <c r="N224">
        <v>1</v>
      </c>
      <c r="O224" t="s">
        <v>1045</v>
      </c>
    </row>
    <row r="225" spans="1:15" x14ac:dyDescent="0.25">
      <c r="A225">
        <v>23</v>
      </c>
      <c r="B225" s="6">
        <v>45028</v>
      </c>
      <c r="C225" s="5" t="s">
        <v>245</v>
      </c>
      <c r="D225" s="5" t="s">
        <v>1</v>
      </c>
      <c r="E225">
        <v>35</v>
      </c>
      <c r="F225" s="5" t="s">
        <v>19</v>
      </c>
      <c r="G225">
        <v>4</v>
      </c>
      <c r="H225">
        <v>30</v>
      </c>
      <c r="I225">
        <v>120</v>
      </c>
      <c r="J225" t="s">
        <v>20</v>
      </c>
      <c r="K225" t="s">
        <v>1028</v>
      </c>
      <c r="L225" t="s">
        <v>1038</v>
      </c>
      <c r="M225" t="s">
        <v>1041</v>
      </c>
      <c r="N225">
        <v>4</v>
      </c>
      <c r="O225" t="s">
        <v>1042</v>
      </c>
    </row>
    <row r="226" spans="1:15" x14ac:dyDescent="0.25">
      <c r="A226">
        <v>39</v>
      </c>
      <c r="B226" s="6">
        <v>45037</v>
      </c>
      <c r="C226" s="5" t="s">
        <v>246</v>
      </c>
      <c r="D226" s="5" t="s">
        <v>2</v>
      </c>
      <c r="E226">
        <v>23</v>
      </c>
      <c r="F226" s="5" t="s">
        <v>19</v>
      </c>
      <c r="G226">
        <v>4</v>
      </c>
      <c r="H226">
        <v>30</v>
      </c>
      <c r="I226">
        <v>120</v>
      </c>
      <c r="J226" t="s">
        <v>22</v>
      </c>
      <c r="K226" t="s">
        <v>1029</v>
      </c>
      <c r="L226" t="s">
        <v>1038</v>
      </c>
      <c r="M226" t="s">
        <v>1041</v>
      </c>
      <c r="N226">
        <v>4</v>
      </c>
      <c r="O226" t="s">
        <v>1042</v>
      </c>
    </row>
    <row r="227" spans="1:15" x14ac:dyDescent="0.25">
      <c r="A227">
        <v>80</v>
      </c>
      <c r="B227" s="6">
        <v>45270</v>
      </c>
      <c r="C227" s="5" t="s">
        <v>247</v>
      </c>
      <c r="D227" s="5" t="s">
        <v>1</v>
      </c>
      <c r="E227">
        <v>64</v>
      </c>
      <c r="F227" s="5" t="s">
        <v>19</v>
      </c>
      <c r="G227">
        <v>2</v>
      </c>
      <c r="H227">
        <v>30</v>
      </c>
      <c r="I227">
        <v>60</v>
      </c>
      <c r="J227" t="s">
        <v>24</v>
      </c>
      <c r="K227" t="s">
        <v>1030</v>
      </c>
      <c r="L227" t="s">
        <v>1038</v>
      </c>
      <c r="M227" t="s">
        <v>1047</v>
      </c>
      <c r="N227">
        <v>12</v>
      </c>
      <c r="O227" t="s">
        <v>1052</v>
      </c>
    </row>
    <row r="228" spans="1:15" x14ac:dyDescent="0.25">
      <c r="A228">
        <v>95</v>
      </c>
      <c r="B228" s="6">
        <v>45254</v>
      </c>
      <c r="C228" s="5" t="s">
        <v>248</v>
      </c>
      <c r="D228" s="5" t="s">
        <v>1</v>
      </c>
      <c r="E228">
        <v>32</v>
      </c>
      <c r="F228" s="5" t="s">
        <v>19</v>
      </c>
      <c r="G228">
        <v>2</v>
      </c>
      <c r="H228">
        <v>30</v>
      </c>
      <c r="I228">
        <v>60</v>
      </c>
      <c r="J228" t="s">
        <v>20</v>
      </c>
      <c r="K228" t="s">
        <v>1028</v>
      </c>
      <c r="L228" t="s">
        <v>1038</v>
      </c>
      <c r="M228" t="s">
        <v>1047</v>
      </c>
      <c r="N228">
        <v>11</v>
      </c>
      <c r="O228" t="s">
        <v>1048</v>
      </c>
    </row>
    <row r="229" spans="1:15" x14ac:dyDescent="0.25">
      <c r="A229">
        <v>116</v>
      </c>
      <c r="B229" s="6">
        <v>45161</v>
      </c>
      <c r="C229" s="5" t="s">
        <v>249</v>
      </c>
      <c r="D229" s="5" t="s">
        <v>1</v>
      </c>
      <c r="E229">
        <v>23</v>
      </c>
      <c r="F229" s="5" t="s">
        <v>19</v>
      </c>
      <c r="G229">
        <v>1</v>
      </c>
      <c r="H229">
        <v>30</v>
      </c>
      <c r="I229">
        <v>30</v>
      </c>
      <c r="J229" t="s">
        <v>22</v>
      </c>
      <c r="K229" t="s">
        <v>1029</v>
      </c>
      <c r="L229" t="s">
        <v>1038</v>
      </c>
      <c r="M229" t="s">
        <v>1033</v>
      </c>
      <c r="N229">
        <v>8</v>
      </c>
      <c r="O229" t="s">
        <v>1051</v>
      </c>
    </row>
    <row r="230" spans="1:15" x14ac:dyDescent="0.25">
      <c r="A230">
        <v>126</v>
      </c>
      <c r="B230" s="6">
        <v>45225</v>
      </c>
      <c r="C230" s="5" t="s">
        <v>250</v>
      </c>
      <c r="D230" s="5" t="s">
        <v>1</v>
      </c>
      <c r="E230">
        <v>28</v>
      </c>
      <c r="F230" s="5" t="s">
        <v>19</v>
      </c>
      <c r="G230">
        <v>3</v>
      </c>
      <c r="H230">
        <v>30</v>
      </c>
      <c r="I230">
        <v>90</v>
      </c>
      <c r="J230" t="s">
        <v>22</v>
      </c>
      <c r="K230" t="s">
        <v>1029</v>
      </c>
      <c r="L230" t="s">
        <v>1038</v>
      </c>
      <c r="M230" t="s">
        <v>1047</v>
      </c>
      <c r="N230">
        <v>10</v>
      </c>
      <c r="O230" t="s">
        <v>1049</v>
      </c>
    </row>
    <row r="231" spans="1:15" x14ac:dyDescent="0.25">
      <c r="A231">
        <v>148</v>
      </c>
      <c r="B231" s="6">
        <v>45055</v>
      </c>
      <c r="C231" s="5" t="s">
        <v>251</v>
      </c>
      <c r="D231" s="5" t="s">
        <v>2</v>
      </c>
      <c r="E231">
        <v>18</v>
      </c>
      <c r="F231" s="5" t="s">
        <v>19</v>
      </c>
      <c r="G231">
        <v>2</v>
      </c>
      <c r="H231">
        <v>30</v>
      </c>
      <c r="I231">
        <v>60</v>
      </c>
      <c r="J231" t="s">
        <v>22</v>
      </c>
      <c r="K231" t="s">
        <v>1029</v>
      </c>
      <c r="L231" t="s">
        <v>1038</v>
      </c>
      <c r="M231" t="s">
        <v>1041</v>
      </c>
      <c r="N231">
        <v>5</v>
      </c>
      <c r="O231" t="s">
        <v>1032</v>
      </c>
    </row>
    <row r="232" spans="1:15" x14ac:dyDescent="0.25">
      <c r="A232">
        <v>162</v>
      </c>
      <c r="B232" s="6">
        <v>45159</v>
      </c>
      <c r="C232" s="5" t="s">
        <v>252</v>
      </c>
      <c r="D232" s="5" t="s">
        <v>2</v>
      </c>
      <c r="E232">
        <v>39</v>
      </c>
      <c r="F232" s="5" t="s">
        <v>19</v>
      </c>
      <c r="G232">
        <v>2</v>
      </c>
      <c r="H232">
        <v>30</v>
      </c>
      <c r="I232">
        <v>60</v>
      </c>
      <c r="J232" t="s">
        <v>20</v>
      </c>
      <c r="K232" t="s">
        <v>1028</v>
      </c>
      <c r="L232" t="s">
        <v>1038</v>
      </c>
      <c r="M232" t="s">
        <v>1033</v>
      </c>
      <c r="N232">
        <v>8</v>
      </c>
      <c r="O232" t="s">
        <v>1051</v>
      </c>
    </row>
    <row r="233" spans="1:15" x14ac:dyDescent="0.25">
      <c r="A233">
        <v>178</v>
      </c>
      <c r="B233" s="6">
        <v>45203</v>
      </c>
      <c r="C233" s="5" t="s">
        <v>253</v>
      </c>
      <c r="D233" s="5" t="s">
        <v>2</v>
      </c>
      <c r="E233">
        <v>40</v>
      </c>
      <c r="F233" s="5" t="s">
        <v>19</v>
      </c>
      <c r="G233">
        <v>2</v>
      </c>
      <c r="H233">
        <v>30</v>
      </c>
      <c r="I233">
        <v>60</v>
      </c>
      <c r="J233" t="s">
        <v>20</v>
      </c>
      <c r="K233" t="s">
        <v>1028</v>
      </c>
      <c r="L233" t="s">
        <v>1038</v>
      </c>
      <c r="M233" t="s">
        <v>1047</v>
      </c>
      <c r="N233">
        <v>10</v>
      </c>
      <c r="O233" t="s">
        <v>1049</v>
      </c>
    </row>
    <row r="234" spans="1:15" x14ac:dyDescent="0.25">
      <c r="A234">
        <v>195</v>
      </c>
      <c r="B234" s="6">
        <v>44962</v>
      </c>
      <c r="C234" s="5" t="s">
        <v>254</v>
      </c>
      <c r="D234" s="5" t="s">
        <v>2</v>
      </c>
      <c r="E234">
        <v>52</v>
      </c>
      <c r="F234" s="5" t="s">
        <v>19</v>
      </c>
      <c r="G234">
        <v>1</v>
      </c>
      <c r="H234">
        <v>30</v>
      </c>
      <c r="I234">
        <v>30</v>
      </c>
      <c r="J234" t="s">
        <v>20</v>
      </c>
      <c r="K234" t="s">
        <v>1028</v>
      </c>
      <c r="L234" t="s">
        <v>1038</v>
      </c>
      <c r="M234" t="s">
        <v>1039</v>
      </c>
      <c r="N234">
        <v>2</v>
      </c>
      <c r="O234" t="s">
        <v>1044</v>
      </c>
    </row>
    <row r="235" spans="1:15" x14ac:dyDescent="0.25">
      <c r="A235">
        <v>222</v>
      </c>
      <c r="B235" s="6">
        <v>45042</v>
      </c>
      <c r="C235" s="5" t="s">
        <v>255</v>
      </c>
      <c r="D235" s="5" t="s">
        <v>2</v>
      </c>
      <c r="E235">
        <v>51</v>
      </c>
      <c r="F235" s="5" t="s">
        <v>19</v>
      </c>
      <c r="G235">
        <v>4</v>
      </c>
      <c r="H235">
        <v>30</v>
      </c>
      <c r="I235">
        <v>120</v>
      </c>
      <c r="J235" t="s">
        <v>20</v>
      </c>
      <c r="K235" t="s">
        <v>1028</v>
      </c>
      <c r="L235" t="s">
        <v>1038</v>
      </c>
      <c r="M235" t="s">
        <v>1041</v>
      </c>
      <c r="N235">
        <v>4</v>
      </c>
      <c r="O235" t="s">
        <v>1042</v>
      </c>
    </row>
    <row r="236" spans="1:15" x14ac:dyDescent="0.25">
      <c r="A236">
        <v>245</v>
      </c>
      <c r="B236" s="6">
        <v>45175</v>
      </c>
      <c r="C236" s="5" t="s">
        <v>256</v>
      </c>
      <c r="D236" s="5" t="s">
        <v>2</v>
      </c>
      <c r="E236">
        <v>47</v>
      </c>
      <c r="F236" s="5" t="s">
        <v>19</v>
      </c>
      <c r="G236">
        <v>3</v>
      </c>
      <c r="H236">
        <v>30</v>
      </c>
      <c r="I236">
        <v>90</v>
      </c>
      <c r="J236" t="s">
        <v>20</v>
      </c>
      <c r="K236" t="s">
        <v>1028</v>
      </c>
      <c r="L236" t="s">
        <v>1038</v>
      </c>
      <c r="M236" t="s">
        <v>1033</v>
      </c>
      <c r="N236">
        <v>9</v>
      </c>
      <c r="O236" t="s">
        <v>1043</v>
      </c>
    </row>
    <row r="237" spans="1:15" x14ac:dyDescent="0.25">
      <c r="A237">
        <v>255</v>
      </c>
      <c r="B237" s="6">
        <v>45024</v>
      </c>
      <c r="C237" s="5" t="s">
        <v>257</v>
      </c>
      <c r="D237" s="5" t="s">
        <v>2</v>
      </c>
      <c r="E237">
        <v>48</v>
      </c>
      <c r="F237" s="5" t="s">
        <v>19</v>
      </c>
      <c r="G237">
        <v>1</v>
      </c>
      <c r="H237">
        <v>30</v>
      </c>
      <c r="I237">
        <v>30</v>
      </c>
      <c r="J237" t="s">
        <v>20</v>
      </c>
      <c r="K237" t="s">
        <v>1028</v>
      </c>
      <c r="L237" t="s">
        <v>1038</v>
      </c>
      <c r="M237" t="s">
        <v>1041</v>
      </c>
      <c r="N237">
        <v>4</v>
      </c>
      <c r="O237" t="s">
        <v>1042</v>
      </c>
    </row>
    <row r="238" spans="1:15" x14ac:dyDescent="0.25">
      <c r="A238">
        <v>288</v>
      </c>
      <c r="B238" s="6">
        <v>44952</v>
      </c>
      <c r="C238" s="5" t="s">
        <v>258</v>
      </c>
      <c r="D238" s="5" t="s">
        <v>2</v>
      </c>
      <c r="E238">
        <v>28</v>
      </c>
      <c r="F238" s="5" t="s">
        <v>19</v>
      </c>
      <c r="G238">
        <v>4</v>
      </c>
      <c r="H238">
        <v>30</v>
      </c>
      <c r="I238">
        <v>120</v>
      </c>
      <c r="J238" t="s">
        <v>22</v>
      </c>
      <c r="K238" t="s">
        <v>1029</v>
      </c>
      <c r="L238" t="s">
        <v>1038</v>
      </c>
      <c r="M238" t="s">
        <v>1039</v>
      </c>
      <c r="N238">
        <v>1</v>
      </c>
      <c r="O238" t="s">
        <v>1045</v>
      </c>
    </row>
    <row r="239" spans="1:15" x14ac:dyDescent="0.25">
      <c r="A239">
        <v>294</v>
      </c>
      <c r="B239" s="6">
        <v>45012</v>
      </c>
      <c r="C239" s="5" t="s">
        <v>259</v>
      </c>
      <c r="D239" s="5" t="s">
        <v>1</v>
      </c>
      <c r="E239">
        <v>23</v>
      </c>
      <c r="F239" s="5" t="s">
        <v>19</v>
      </c>
      <c r="G239">
        <v>3</v>
      </c>
      <c r="H239">
        <v>30</v>
      </c>
      <c r="I239">
        <v>90</v>
      </c>
      <c r="J239" t="s">
        <v>22</v>
      </c>
      <c r="K239" t="s">
        <v>1029</v>
      </c>
      <c r="L239" t="s">
        <v>1038</v>
      </c>
      <c r="M239" t="s">
        <v>1039</v>
      </c>
      <c r="N239">
        <v>3</v>
      </c>
      <c r="O239" t="s">
        <v>1040</v>
      </c>
    </row>
    <row r="240" spans="1:15" x14ac:dyDescent="0.25">
      <c r="A240">
        <v>301</v>
      </c>
      <c r="B240" s="6">
        <v>45011</v>
      </c>
      <c r="C240" s="5" t="s">
        <v>260</v>
      </c>
      <c r="D240" s="5" t="s">
        <v>2</v>
      </c>
      <c r="E240">
        <v>30</v>
      </c>
      <c r="F240" s="5" t="s">
        <v>19</v>
      </c>
      <c r="G240">
        <v>4</v>
      </c>
      <c r="H240">
        <v>30</v>
      </c>
      <c r="I240">
        <v>120</v>
      </c>
      <c r="J240" t="s">
        <v>20</v>
      </c>
      <c r="K240" t="s">
        <v>1028</v>
      </c>
      <c r="L240" t="s">
        <v>1038</v>
      </c>
      <c r="M240" t="s">
        <v>1039</v>
      </c>
      <c r="N240">
        <v>3</v>
      </c>
      <c r="O240" t="s">
        <v>1040</v>
      </c>
    </row>
    <row r="241" spans="1:15" x14ac:dyDescent="0.25">
      <c r="A241">
        <v>312</v>
      </c>
      <c r="B241" s="6">
        <v>45176</v>
      </c>
      <c r="C241" s="5" t="s">
        <v>261</v>
      </c>
      <c r="D241" s="5" t="s">
        <v>2</v>
      </c>
      <c r="E241">
        <v>41</v>
      </c>
      <c r="F241" s="5" t="s">
        <v>19</v>
      </c>
      <c r="G241">
        <v>4</v>
      </c>
      <c r="H241">
        <v>30</v>
      </c>
      <c r="I241">
        <v>120</v>
      </c>
      <c r="J241" t="s">
        <v>20</v>
      </c>
      <c r="K241" t="s">
        <v>1028</v>
      </c>
      <c r="L241" t="s">
        <v>1038</v>
      </c>
      <c r="M241" t="s">
        <v>1033</v>
      </c>
      <c r="N241">
        <v>9</v>
      </c>
      <c r="O241" t="s">
        <v>1043</v>
      </c>
    </row>
    <row r="242" spans="1:15" x14ac:dyDescent="0.25">
      <c r="A242">
        <v>314</v>
      </c>
      <c r="B242" s="6">
        <v>45024</v>
      </c>
      <c r="C242" s="5" t="s">
        <v>262</v>
      </c>
      <c r="D242" s="5" t="s">
        <v>2</v>
      </c>
      <c r="E242">
        <v>52</v>
      </c>
      <c r="F242" s="5" t="s">
        <v>19</v>
      </c>
      <c r="G242">
        <v>4</v>
      </c>
      <c r="H242">
        <v>30</v>
      </c>
      <c r="I242">
        <v>120</v>
      </c>
      <c r="J242" t="s">
        <v>20</v>
      </c>
      <c r="K242" t="s">
        <v>1028</v>
      </c>
      <c r="L242" t="s">
        <v>1038</v>
      </c>
      <c r="M242" t="s">
        <v>1041</v>
      </c>
      <c r="N242">
        <v>4</v>
      </c>
      <c r="O242" t="s">
        <v>1042</v>
      </c>
    </row>
    <row r="243" spans="1:15" x14ac:dyDescent="0.25">
      <c r="A243">
        <v>315</v>
      </c>
      <c r="B243" s="6">
        <v>45078</v>
      </c>
      <c r="C243" s="5" t="s">
        <v>263</v>
      </c>
      <c r="D243" s="5" t="s">
        <v>2</v>
      </c>
      <c r="E243">
        <v>47</v>
      </c>
      <c r="F243" s="5" t="s">
        <v>19</v>
      </c>
      <c r="G243">
        <v>2</v>
      </c>
      <c r="H243">
        <v>30</v>
      </c>
      <c r="I243">
        <v>60</v>
      </c>
      <c r="J243" t="s">
        <v>20</v>
      </c>
      <c r="K243" t="s">
        <v>1028</v>
      </c>
      <c r="L243" t="s">
        <v>1038</v>
      </c>
      <c r="M243" t="s">
        <v>1041</v>
      </c>
      <c r="N243">
        <v>6</v>
      </c>
      <c r="O243" t="s">
        <v>1050</v>
      </c>
    </row>
    <row r="244" spans="1:15" x14ac:dyDescent="0.25">
      <c r="A244">
        <v>351</v>
      </c>
      <c r="B244" s="6">
        <v>45194</v>
      </c>
      <c r="C244" s="5" t="s">
        <v>264</v>
      </c>
      <c r="D244" s="5" t="s">
        <v>1</v>
      </c>
      <c r="E244">
        <v>56</v>
      </c>
      <c r="F244" s="5" t="s">
        <v>19</v>
      </c>
      <c r="G244">
        <v>3</v>
      </c>
      <c r="H244">
        <v>30</v>
      </c>
      <c r="I244">
        <v>90</v>
      </c>
      <c r="J244" t="s">
        <v>24</v>
      </c>
      <c r="K244" t="s">
        <v>1030</v>
      </c>
      <c r="L244" t="s">
        <v>1038</v>
      </c>
      <c r="M244" t="s">
        <v>1033</v>
      </c>
      <c r="N244">
        <v>9</v>
      </c>
      <c r="O244" t="s">
        <v>1043</v>
      </c>
    </row>
    <row r="245" spans="1:15" x14ac:dyDescent="0.25">
      <c r="A245">
        <v>415</v>
      </c>
      <c r="B245" s="6">
        <v>44953</v>
      </c>
      <c r="C245" s="5" t="s">
        <v>265</v>
      </c>
      <c r="D245" s="5" t="s">
        <v>2</v>
      </c>
      <c r="E245">
        <v>53</v>
      </c>
      <c r="F245" s="5" t="s">
        <v>19</v>
      </c>
      <c r="G245">
        <v>2</v>
      </c>
      <c r="H245">
        <v>30</v>
      </c>
      <c r="I245">
        <v>60</v>
      </c>
      <c r="J245" t="s">
        <v>20</v>
      </c>
      <c r="K245" t="s">
        <v>1028</v>
      </c>
      <c r="L245" t="s">
        <v>1038</v>
      </c>
      <c r="M245" t="s">
        <v>1039</v>
      </c>
      <c r="N245">
        <v>1</v>
      </c>
      <c r="O245" t="s">
        <v>1045</v>
      </c>
    </row>
    <row r="246" spans="1:15" x14ac:dyDescent="0.25">
      <c r="A246">
        <v>419</v>
      </c>
      <c r="B246" s="6">
        <v>45068</v>
      </c>
      <c r="C246" s="5" t="s">
        <v>266</v>
      </c>
      <c r="D246" s="5" t="s">
        <v>1</v>
      </c>
      <c r="E246">
        <v>44</v>
      </c>
      <c r="F246" s="5" t="s">
        <v>19</v>
      </c>
      <c r="G246">
        <v>3</v>
      </c>
      <c r="H246">
        <v>30</v>
      </c>
      <c r="I246">
        <v>90</v>
      </c>
      <c r="J246" t="s">
        <v>20</v>
      </c>
      <c r="K246" t="s">
        <v>1028</v>
      </c>
      <c r="L246" t="s">
        <v>1038</v>
      </c>
      <c r="M246" t="s">
        <v>1041</v>
      </c>
      <c r="N246">
        <v>5</v>
      </c>
      <c r="O246" t="s">
        <v>1032</v>
      </c>
    </row>
    <row r="247" spans="1:15" x14ac:dyDescent="0.25">
      <c r="A247">
        <v>422</v>
      </c>
      <c r="B247" s="6">
        <v>45097</v>
      </c>
      <c r="C247" s="5" t="s">
        <v>267</v>
      </c>
      <c r="D247" s="5" t="s">
        <v>1</v>
      </c>
      <c r="E247">
        <v>28</v>
      </c>
      <c r="F247" s="5" t="s">
        <v>19</v>
      </c>
      <c r="G247">
        <v>3</v>
      </c>
      <c r="H247">
        <v>30</v>
      </c>
      <c r="I247">
        <v>90</v>
      </c>
      <c r="J247" t="s">
        <v>22</v>
      </c>
      <c r="K247" t="s">
        <v>1029</v>
      </c>
      <c r="L247" t="s">
        <v>1038</v>
      </c>
      <c r="M247" t="s">
        <v>1041</v>
      </c>
      <c r="N247">
        <v>6</v>
      </c>
      <c r="O247" t="s">
        <v>1050</v>
      </c>
    </row>
    <row r="248" spans="1:15" x14ac:dyDescent="0.25">
      <c r="A248">
        <v>436</v>
      </c>
      <c r="B248" s="6">
        <v>45003</v>
      </c>
      <c r="C248" s="5" t="s">
        <v>268</v>
      </c>
      <c r="D248" s="5" t="s">
        <v>1</v>
      </c>
      <c r="E248">
        <v>57</v>
      </c>
      <c r="F248" s="5" t="s">
        <v>19</v>
      </c>
      <c r="G248">
        <v>4</v>
      </c>
      <c r="H248">
        <v>30</v>
      </c>
      <c r="I248">
        <v>120</v>
      </c>
      <c r="J248" t="s">
        <v>24</v>
      </c>
      <c r="K248" t="s">
        <v>1030</v>
      </c>
      <c r="L248" t="s">
        <v>1038</v>
      </c>
      <c r="M248" t="s">
        <v>1039</v>
      </c>
      <c r="N248">
        <v>3</v>
      </c>
      <c r="O248" t="s">
        <v>1040</v>
      </c>
    </row>
    <row r="249" spans="1:15" x14ac:dyDescent="0.25">
      <c r="A249">
        <v>438</v>
      </c>
      <c r="B249" s="6">
        <v>44945</v>
      </c>
      <c r="C249" s="5" t="s">
        <v>269</v>
      </c>
      <c r="D249" s="5" t="s">
        <v>1</v>
      </c>
      <c r="E249">
        <v>42</v>
      </c>
      <c r="F249" s="5" t="s">
        <v>19</v>
      </c>
      <c r="G249">
        <v>1</v>
      </c>
      <c r="H249">
        <v>30</v>
      </c>
      <c r="I249">
        <v>30</v>
      </c>
      <c r="J249" t="s">
        <v>20</v>
      </c>
      <c r="K249" t="s">
        <v>1028</v>
      </c>
      <c r="L249" t="s">
        <v>1038</v>
      </c>
      <c r="M249" t="s">
        <v>1039</v>
      </c>
      <c r="N249">
        <v>1</v>
      </c>
      <c r="O249" t="s">
        <v>1045</v>
      </c>
    </row>
    <row r="250" spans="1:15" x14ac:dyDescent="0.25">
      <c r="A250">
        <v>444</v>
      </c>
      <c r="B250" s="6">
        <v>44992</v>
      </c>
      <c r="C250" s="5" t="s">
        <v>270</v>
      </c>
      <c r="D250" s="5" t="s">
        <v>1</v>
      </c>
      <c r="E250">
        <v>61</v>
      </c>
      <c r="F250" s="5" t="s">
        <v>19</v>
      </c>
      <c r="G250">
        <v>3</v>
      </c>
      <c r="H250">
        <v>30</v>
      </c>
      <c r="I250">
        <v>90</v>
      </c>
      <c r="J250" t="s">
        <v>24</v>
      </c>
      <c r="K250" t="s">
        <v>1030</v>
      </c>
      <c r="L250" t="s">
        <v>1038</v>
      </c>
      <c r="M250" t="s">
        <v>1039</v>
      </c>
      <c r="N250">
        <v>3</v>
      </c>
      <c r="O250" t="s">
        <v>1040</v>
      </c>
    </row>
    <row r="251" spans="1:15" x14ac:dyDescent="0.25">
      <c r="A251">
        <v>477</v>
      </c>
      <c r="B251" s="6">
        <v>45040</v>
      </c>
      <c r="C251" s="5" t="s">
        <v>271</v>
      </c>
      <c r="D251" s="5" t="s">
        <v>2</v>
      </c>
      <c r="E251">
        <v>43</v>
      </c>
      <c r="F251" s="5" t="s">
        <v>19</v>
      </c>
      <c r="G251">
        <v>4</v>
      </c>
      <c r="H251">
        <v>30</v>
      </c>
      <c r="I251">
        <v>120</v>
      </c>
      <c r="J251" t="s">
        <v>20</v>
      </c>
      <c r="K251" t="s">
        <v>1028</v>
      </c>
      <c r="L251" t="s">
        <v>1038</v>
      </c>
      <c r="M251" t="s">
        <v>1041</v>
      </c>
      <c r="N251">
        <v>4</v>
      </c>
      <c r="O251" t="s">
        <v>1042</v>
      </c>
    </row>
    <row r="252" spans="1:15" x14ac:dyDescent="0.25">
      <c r="A252">
        <v>478</v>
      </c>
      <c r="B252" s="6">
        <v>45029</v>
      </c>
      <c r="C252" s="5" t="s">
        <v>272</v>
      </c>
      <c r="D252" s="5" t="s">
        <v>1</v>
      </c>
      <c r="E252">
        <v>58</v>
      </c>
      <c r="F252" s="5" t="s">
        <v>19</v>
      </c>
      <c r="G252">
        <v>2</v>
      </c>
      <c r="H252">
        <v>30</v>
      </c>
      <c r="I252">
        <v>60</v>
      </c>
      <c r="J252" t="s">
        <v>24</v>
      </c>
      <c r="K252" t="s">
        <v>1030</v>
      </c>
      <c r="L252" t="s">
        <v>1038</v>
      </c>
      <c r="M252" t="s">
        <v>1041</v>
      </c>
      <c r="N252">
        <v>4</v>
      </c>
      <c r="O252" t="s">
        <v>1042</v>
      </c>
    </row>
    <row r="253" spans="1:15" x14ac:dyDescent="0.25">
      <c r="A253">
        <v>483</v>
      </c>
      <c r="B253" s="6">
        <v>45041</v>
      </c>
      <c r="C253" s="5" t="s">
        <v>273</v>
      </c>
      <c r="D253" s="5" t="s">
        <v>2</v>
      </c>
      <c r="E253">
        <v>55</v>
      </c>
      <c r="F253" s="5" t="s">
        <v>19</v>
      </c>
      <c r="G253">
        <v>1</v>
      </c>
      <c r="H253">
        <v>30</v>
      </c>
      <c r="I253">
        <v>30</v>
      </c>
      <c r="J253" t="s">
        <v>20</v>
      </c>
      <c r="K253" t="s">
        <v>1028</v>
      </c>
      <c r="L253" t="s">
        <v>1038</v>
      </c>
      <c r="M253" t="s">
        <v>1041</v>
      </c>
      <c r="N253">
        <v>4</v>
      </c>
      <c r="O253" t="s">
        <v>1042</v>
      </c>
    </row>
    <row r="254" spans="1:15" x14ac:dyDescent="0.25">
      <c r="A254">
        <v>497</v>
      </c>
      <c r="B254" s="6">
        <v>45201</v>
      </c>
      <c r="C254" s="5" t="s">
        <v>274</v>
      </c>
      <c r="D254" s="5" t="s">
        <v>2</v>
      </c>
      <c r="E254">
        <v>41</v>
      </c>
      <c r="F254" s="5" t="s">
        <v>19</v>
      </c>
      <c r="G254">
        <v>4</v>
      </c>
      <c r="H254">
        <v>30</v>
      </c>
      <c r="I254">
        <v>120</v>
      </c>
      <c r="J254" t="s">
        <v>20</v>
      </c>
      <c r="K254" t="s">
        <v>1028</v>
      </c>
      <c r="L254" t="s">
        <v>1038</v>
      </c>
      <c r="M254" t="s">
        <v>1047</v>
      </c>
      <c r="N254">
        <v>10</v>
      </c>
      <c r="O254" t="s">
        <v>1049</v>
      </c>
    </row>
    <row r="255" spans="1:15" x14ac:dyDescent="0.25">
      <c r="A255">
        <v>518</v>
      </c>
      <c r="B255" s="6">
        <v>45057</v>
      </c>
      <c r="C255" s="5" t="s">
        <v>275</v>
      </c>
      <c r="D255" s="5" t="s">
        <v>1</v>
      </c>
      <c r="E255">
        <v>40</v>
      </c>
      <c r="F255" s="5" t="s">
        <v>19</v>
      </c>
      <c r="G255">
        <v>1</v>
      </c>
      <c r="H255">
        <v>30</v>
      </c>
      <c r="I255">
        <v>30</v>
      </c>
      <c r="J255" t="s">
        <v>20</v>
      </c>
      <c r="K255" t="s">
        <v>1028</v>
      </c>
      <c r="L255" t="s">
        <v>1038</v>
      </c>
      <c r="M255" t="s">
        <v>1041</v>
      </c>
      <c r="N255">
        <v>5</v>
      </c>
      <c r="O255" t="s">
        <v>1032</v>
      </c>
    </row>
    <row r="256" spans="1:15" x14ac:dyDescent="0.25">
      <c r="A256">
        <v>521</v>
      </c>
      <c r="B256" s="6">
        <v>45150</v>
      </c>
      <c r="C256" s="5" t="s">
        <v>276</v>
      </c>
      <c r="D256" s="5" t="s">
        <v>1</v>
      </c>
      <c r="E256">
        <v>47</v>
      </c>
      <c r="F256" s="5" t="s">
        <v>19</v>
      </c>
      <c r="G256">
        <v>4</v>
      </c>
      <c r="H256">
        <v>30</v>
      </c>
      <c r="I256">
        <v>120</v>
      </c>
      <c r="J256" t="s">
        <v>20</v>
      </c>
      <c r="K256" t="s">
        <v>1028</v>
      </c>
      <c r="L256" t="s">
        <v>1038</v>
      </c>
      <c r="M256" t="s">
        <v>1033</v>
      </c>
      <c r="N256">
        <v>8</v>
      </c>
      <c r="O256" t="s">
        <v>1051</v>
      </c>
    </row>
    <row r="257" spans="1:15" x14ac:dyDescent="0.25">
      <c r="A257">
        <v>528</v>
      </c>
      <c r="B257" s="6">
        <v>45113</v>
      </c>
      <c r="C257" s="5" t="s">
        <v>277</v>
      </c>
      <c r="D257" s="5" t="s">
        <v>1</v>
      </c>
      <c r="E257">
        <v>36</v>
      </c>
      <c r="F257" s="5" t="s">
        <v>19</v>
      </c>
      <c r="G257">
        <v>2</v>
      </c>
      <c r="H257">
        <v>30</v>
      </c>
      <c r="I257">
        <v>60</v>
      </c>
      <c r="J257" t="s">
        <v>20</v>
      </c>
      <c r="K257" t="s">
        <v>1028</v>
      </c>
      <c r="L257" t="s">
        <v>1038</v>
      </c>
      <c r="M257" t="s">
        <v>1033</v>
      </c>
      <c r="N257">
        <v>7</v>
      </c>
      <c r="O257" t="s">
        <v>1046</v>
      </c>
    </row>
    <row r="258" spans="1:15" x14ac:dyDescent="0.25">
      <c r="A258">
        <v>532</v>
      </c>
      <c r="B258" s="6">
        <v>45096</v>
      </c>
      <c r="C258" s="5" t="s">
        <v>278</v>
      </c>
      <c r="D258" s="5" t="s">
        <v>1</v>
      </c>
      <c r="E258">
        <v>64</v>
      </c>
      <c r="F258" s="5" t="s">
        <v>19</v>
      </c>
      <c r="G258">
        <v>4</v>
      </c>
      <c r="H258">
        <v>30</v>
      </c>
      <c r="I258">
        <v>120</v>
      </c>
      <c r="J258" t="s">
        <v>24</v>
      </c>
      <c r="K258" t="s">
        <v>1030</v>
      </c>
      <c r="L258" t="s">
        <v>1038</v>
      </c>
      <c r="M258" t="s">
        <v>1041</v>
      </c>
      <c r="N258">
        <v>6</v>
      </c>
      <c r="O258" t="s">
        <v>1050</v>
      </c>
    </row>
    <row r="259" spans="1:15" x14ac:dyDescent="0.25">
      <c r="A259">
        <v>548</v>
      </c>
      <c r="B259" s="6">
        <v>45025</v>
      </c>
      <c r="C259" s="5" t="s">
        <v>279</v>
      </c>
      <c r="D259" s="5" t="s">
        <v>1</v>
      </c>
      <c r="E259">
        <v>51</v>
      </c>
      <c r="F259" s="5" t="s">
        <v>19</v>
      </c>
      <c r="G259">
        <v>2</v>
      </c>
      <c r="H259">
        <v>30</v>
      </c>
      <c r="I259">
        <v>60</v>
      </c>
      <c r="J259" t="s">
        <v>20</v>
      </c>
      <c r="K259" t="s">
        <v>1028</v>
      </c>
      <c r="L259" t="s">
        <v>1038</v>
      </c>
      <c r="M259" t="s">
        <v>1041</v>
      </c>
      <c r="N259">
        <v>4</v>
      </c>
      <c r="O259" t="s">
        <v>1042</v>
      </c>
    </row>
    <row r="260" spans="1:15" x14ac:dyDescent="0.25">
      <c r="A260">
        <v>563</v>
      </c>
      <c r="B260" s="6">
        <v>45147</v>
      </c>
      <c r="C260" s="5" t="s">
        <v>280</v>
      </c>
      <c r="D260" s="5" t="s">
        <v>2</v>
      </c>
      <c r="E260">
        <v>20</v>
      </c>
      <c r="F260" s="5" t="s">
        <v>19</v>
      </c>
      <c r="G260">
        <v>2</v>
      </c>
      <c r="H260">
        <v>30</v>
      </c>
      <c r="I260">
        <v>60</v>
      </c>
      <c r="J260" t="s">
        <v>22</v>
      </c>
      <c r="K260" t="s">
        <v>1029</v>
      </c>
      <c r="L260" t="s">
        <v>1038</v>
      </c>
      <c r="M260" t="s">
        <v>1033</v>
      </c>
      <c r="N260">
        <v>8</v>
      </c>
      <c r="O260" t="s">
        <v>1051</v>
      </c>
    </row>
    <row r="261" spans="1:15" x14ac:dyDescent="0.25">
      <c r="A261">
        <v>566</v>
      </c>
      <c r="B261" s="6">
        <v>45262</v>
      </c>
      <c r="C261" s="5" t="s">
        <v>281</v>
      </c>
      <c r="D261" s="5" t="s">
        <v>1</v>
      </c>
      <c r="E261">
        <v>64</v>
      </c>
      <c r="F261" s="5" t="s">
        <v>19</v>
      </c>
      <c r="G261">
        <v>1</v>
      </c>
      <c r="H261">
        <v>30</v>
      </c>
      <c r="I261">
        <v>30</v>
      </c>
      <c r="J261" t="s">
        <v>24</v>
      </c>
      <c r="K261" t="s">
        <v>1030</v>
      </c>
      <c r="L261" t="s">
        <v>1038</v>
      </c>
      <c r="M261" t="s">
        <v>1047</v>
      </c>
      <c r="N261">
        <v>12</v>
      </c>
      <c r="O261" t="s">
        <v>1052</v>
      </c>
    </row>
    <row r="262" spans="1:15" x14ac:dyDescent="0.25">
      <c r="A262">
        <v>578</v>
      </c>
      <c r="B262" s="6">
        <v>45072</v>
      </c>
      <c r="C262" s="5" t="s">
        <v>282</v>
      </c>
      <c r="D262" s="5" t="s">
        <v>1</v>
      </c>
      <c r="E262">
        <v>54</v>
      </c>
      <c r="F262" s="5" t="s">
        <v>19</v>
      </c>
      <c r="G262">
        <v>4</v>
      </c>
      <c r="H262">
        <v>30</v>
      </c>
      <c r="I262">
        <v>120</v>
      </c>
      <c r="J262" t="s">
        <v>20</v>
      </c>
      <c r="K262" t="s">
        <v>1028</v>
      </c>
      <c r="L262" t="s">
        <v>1038</v>
      </c>
      <c r="M262" t="s">
        <v>1041</v>
      </c>
      <c r="N262">
        <v>5</v>
      </c>
      <c r="O262" t="s">
        <v>1032</v>
      </c>
    </row>
    <row r="263" spans="1:15" x14ac:dyDescent="0.25">
      <c r="A263">
        <v>601</v>
      </c>
      <c r="B263" s="6">
        <v>45026</v>
      </c>
      <c r="C263" s="5" t="s">
        <v>283</v>
      </c>
      <c r="D263" s="5" t="s">
        <v>2</v>
      </c>
      <c r="E263">
        <v>19</v>
      </c>
      <c r="F263" s="5" t="s">
        <v>19</v>
      </c>
      <c r="G263">
        <v>1</v>
      </c>
      <c r="H263">
        <v>30</v>
      </c>
      <c r="I263">
        <v>30</v>
      </c>
      <c r="J263" t="s">
        <v>22</v>
      </c>
      <c r="K263" t="s">
        <v>1029</v>
      </c>
      <c r="L263" t="s">
        <v>1038</v>
      </c>
      <c r="M263" t="s">
        <v>1041</v>
      </c>
      <c r="N263">
        <v>4</v>
      </c>
      <c r="O263" t="s">
        <v>1042</v>
      </c>
    </row>
    <row r="264" spans="1:15" x14ac:dyDescent="0.25">
      <c r="A264">
        <v>603</v>
      </c>
      <c r="B264" s="6">
        <v>45123</v>
      </c>
      <c r="C264" s="5" t="s">
        <v>284</v>
      </c>
      <c r="D264" s="5" t="s">
        <v>1</v>
      </c>
      <c r="E264">
        <v>40</v>
      </c>
      <c r="F264" s="5" t="s">
        <v>19</v>
      </c>
      <c r="G264">
        <v>3</v>
      </c>
      <c r="H264">
        <v>30</v>
      </c>
      <c r="I264">
        <v>90</v>
      </c>
      <c r="J264" t="s">
        <v>20</v>
      </c>
      <c r="K264" t="s">
        <v>1028</v>
      </c>
      <c r="L264" t="s">
        <v>1038</v>
      </c>
      <c r="M264" t="s">
        <v>1033</v>
      </c>
      <c r="N264">
        <v>7</v>
      </c>
      <c r="O264" t="s">
        <v>1046</v>
      </c>
    </row>
    <row r="265" spans="1:15" x14ac:dyDescent="0.25">
      <c r="A265">
        <v>613</v>
      </c>
      <c r="B265" s="6">
        <v>45039</v>
      </c>
      <c r="C265" s="5" t="s">
        <v>285</v>
      </c>
      <c r="D265" s="5" t="s">
        <v>1</v>
      </c>
      <c r="E265">
        <v>52</v>
      </c>
      <c r="F265" s="5" t="s">
        <v>19</v>
      </c>
      <c r="G265">
        <v>3</v>
      </c>
      <c r="H265">
        <v>30</v>
      </c>
      <c r="I265">
        <v>90</v>
      </c>
      <c r="J265" t="s">
        <v>20</v>
      </c>
      <c r="K265" t="s">
        <v>1028</v>
      </c>
      <c r="L265" t="s">
        <v>1038</v>
      </c>
      <c r="M265" t="s">
        <v>1041</v>
      </c>
      <c r="N265">
        <v>4</v>
      </c>
      <c r="O265" t="s">
        <v>1042</v>
      </c>
    </row>
    <row r="266" spans="1:15" x14ac:dyDescent="0.25">
      <c r="A266">
        <v>646</v>
      </c>
      <c r="B266" s="6">
        <v>45049</v>
      </c>
      <c r="C266" s="5" t="s">
        <v>286</v>
      </c>
      <c r="D266" s="5" t="s">
        <v>2</v>
      </c>
      <c r="E266">
        <v>38</v>
      </c>
      <c r="F266" s="5" t="s">
        <v>19</v>
      </c>
      <c r="G266">
        <v>3</v>
      </c>
      <c r="H266">
        <v>30</v>
      </c>
      <c r="I266">
        <v>90</v>
      </c>
      <c r="J266" t="s">
        <v>20</v>
      </c>
      <c r="K266" t="s">
        <v>1028</v>
      </c>
      <c r="L266" t="s">
        <v>1038</v>
      </c>
      <c r="M266" t="s">
        <v>1041</v>
      </c>
      <c r="N266">
        <v>5</v>
      </c>
      <c r="O266" t="s">
        <v>1032</v>
      </c>
    </row>
    <row r="267" spans="1:15" x14ac:dyDescent="0.25">
      <c r="A267">
        <v>675</v>
      </c>
      <c r="B267" s="6">
        <v>45142</v>
      </c>
      <c r="C267" s="5" t="s">
        <v>287</v>
      </c>
      <c r="D267" s="5" t="s">
        <v>1</v>
      </c>
      <c r="E267">
        <v>45</v>
      </c>
      <c r="F267" s="5" t="s">
        <v>19</v>
      </c>
      <c r="G267">
        <v>2</v>
      </c>
      <c r="H267">
        <v>30</v>
      </c>
      <c r="I267">
        <v>60</v>
      </c>
      <c r="J267" t="s">
        <v>20</v>
      </c>
      <c r="K267" t="s">
        <v>1028</v>
      </c>
      <c r="L267" t="s">
        <v>1038</v>
      </c>
      <c r="M267" t="s">
        <v>1033</v>
      </c>
      <c r="N267">
        <v>8</v>
      </c>
      <c r="O267" t="s">
        <v>1051</v>
      </c>
    </row>
    <row r="268" spans="1:15" x14ac:dyDescent="0.25">
      <c r="A268">
        <v>691</v>
      </c>
      <c r="B268" s="6">
        <v>45039</v>
      </c>
      <c r="C268" s="5" t="s">
        <v>288</v>
      </c>
      <c r="D268" s="5" t="s">
        <v>1</v>
      </c>
      <c r="E268">
        <v>51</v>
      </c>
      <c r="F268" s="5" t="s">
        <v>19</v>
      </c>
      <c r="G268">
        <v>3</v>
      </c>
      <c r="H268">
        <v>30</v>
      </c>
      <c r="I268">
        <v>90</v>
      </c>
      <c r="J268" t="s">
        <v>20</v>
      </c>
      <c r="K268" t="s">
        <v>1028</v>
      </c>
      <c r="L268" t="s">
        <v>1038</v>
      </c>
      <c r="M268" t="s">
        <v>1041</v>
      </c>
      <c r="N268">
        <v>4</v>
      </c>
      <c r="O268" t="s">
        <v>1042</v>
      </c>
    </row>
    <row r="269" spans="1:15" x14ac:dyDescent="0.25">
      <c r="A269">
        <v>699</v>
      </c>
      <c r="B269" s="6">
        <v>45099</v>
      </c>
      <c r="C269" s="5" t="s">
        <v>289</v>
      </c>
      <c r="D269" s="5" t="s">
        <v>1</v>
      </c>
      <c r="E269">
        <v>37</v>
      </c>
      <c r="F269" s="5" t="s">
        <v>19</v>
      </c>
      <c r="G269">
        <v>4</v>
      </c>
      <c r="H269">
        <v>30</v>
      </c>
      <c r="I269">
        <v>120</v>
      </c>
      <c r="J269" t="s">
        <v>20</v>
      </c>
      <c r="K269" t="s">
        <v>1028</v>
      </c>
      <c r="L269" t="s">
        <v>1038</v>
      </c>
      <c r="M269" t="s">
        <v>1041</v>
      </c>
      <c r="N269">
        <v>6</v>
      </c>
      <c r="O269" t="s">
        <v>1050</v>
      </c>
    </row>
    <row r="270" spans="1:15" x14ac:dyDescent="0.25">
      <c r="A270">
        <v>704</v>
      </c>
      <c r="B270" s="6">
        <v>45166</v>
      </c>
      <c r="C270" s="5" t="s">
        <v>290</v>
      </c>
      <c r="D270" s="5" t="s">
        <v>1</v>
      </c>
      <c r="E270">
        <v>62</v>
      </c>
      <c r="F270" s="5" t="s">
        <v>19</v>
      </c>
      <c r="G270">
        <v>3</v>
      </c>
      <c r="H270">
        <v>30</v>
      </c>
      <c r="I270">
        <v>90</v>
      </c>
      <c r="J270" t="s">
        <v>24</v>
      </c>
      <c r="K270" t="s">
        <v>1030</v>
      </c>
      <c r="L270" t="s">
        <v>1038</v>
      </c>
      <c r="M270" t="s">
        <v>1033</v>
      </c>
      <c r="N270">
        <v>8</v>
      </c>
      <c r="O270" t="s">
        <v>1051</v>
      </c>
    </row>
    <row r="271" spans="1:15" x14ac:dyDescent="0.25">
      <c r="A271">
        <v>719</v>
      </c>
      <c r="B271" s="6">
        <v>45020</v>
      </c>
      <c r="C271" s="5" t="s">
        <v>291</v>
      </c>
      <c r="D271" s="5" t="s">
        <v>1</v>
      </c>
      <c r="E271">
        <v>42</v>
      </c>
      <c r="F271" s="5" t="s">
        <v>19</v>
      </c>
      <c r="G271">
        <v>2</v>
      </c>
      <c r="H271">
        <v>30</v>
      </c>
      <c r="I271">
        <v>60</v>
      </c>
      <c r="J271" t="s">
        <v>20</v>
      </c>
      <c r="K271" t="s">
        <v>1028</v>
      </c>
      <c r="L271" t="s">
        <v>1038</v>
      </c>
      <c r="M271" t="s">
        <v>1041</v>
      </c>
      <c r="N271">
        <v>4</v>
      </c>
      <c r="O271" t="s">
        <v>1042</v>
      </c>
    </row>
    <row r="272" spans="1:15" x14ac:dyDescent="0.25">
      <c r="A272">
        <v>734</v>
      </c>
      <c r="B272" s="6">
        <v>44936</v>
      </c>
      <c r="C272" s="5" t="s">
        <v>292</v>
      </c>
      <c r="D272" s="5" t="s">
        <v>1</v>
      </c>
      <c r="E272">
        <v>27</v>
      </c>
      <c r="F272" s="5" t="s">
        <v>19</v>
      </c>
      <c r="G272">
        <v>1</v>
      </c>
      <c r="H272">
        <v>30</v>
      </c>
      <c r="I272">
        <v>30</v>
      </c>
      <c r="J272" t="s">
        <v>22</v>
      </c>
      <c r="K272" t="s">
        <v>1029</v>
      </c>
      <c r="L272" t="s">
        <v>1038</v>
      </c>
      <c r="M272" t="s">
        <v>1039</v>
      </c>
      <c r="N272">
        <v>1</v>
      </c>
      <c r="O272" t="s">
        <v>1045</v>
      </c>
    </row>
    <row r="273" spans="1:15" x14ac:dyDescent="0.25">
      <c r="A273">
        <v>746</v>
      </c>
      <c r="B273" s="6">
        <v>44937</v>
      </c>
      <c r="C273" s="5" t="s">
        <v>293</v>
      </c>
      <c r="D273" s="5" t="s">
        <v>1</v>
      </c>
      <c r="E273">
        <v>33</v>
      </c>
      <c r="F273" s="5" t="s">
        <v>19</v>
      </c>
      <c r="G273">
        <v>3</v>
      </c>
      <c r="H273">
        <v>30</v>
      </c>
      <c r="I273">
        <v>90</v>
      </c>
      <c r="J273" t="s">
        <v>20</v>
      </c>
      <c r="K273" t="s">
        <v>1028</v>
      </c>
      <c r="L273" t="s">
        <v>1038</v>
      </c>
      <c r="M273" t="s">
        <v>1039</v>
      </c>
      <c r="N273">
        <v>1</v>
      </c>
      <c r="O273" t="s">
        <v>1045</v>
      </c>
    </row>
    <row r="274" spans="1:15" x14ac:dyDescent="0.25">
      <c r="A274">
        <v>753</v>
      </c>
      <c r="B274" s="6">
        <v>44985</v>
      </c>
      <c r="C274" s="5" t="s">
        <v>294</v>
      </c>
      <c r="D274" s="5" t="s">
        <v>1</v>
      </c>
      <c r="E274">
        <v>32</v>
      </c>
      <c r="F274" s="5" t="s">
        <v>19</v>
      </c>
      <c r="G274">
        <v>1</v>
      </c>
      <c r="H274">
        <v>30</v>
      </c>
      <c r="I274">
        <v>30</v>
      </c>
      <c r="J274" t="s">
        <v>20</v>
      </c>
      <c r="K274" t="s">
        <v>1028</v>
      </c>
      <c r="L274" t="s">
        <v>1038</v>
      </c>
      <c r="M274" t="s">
        <v>1039</v>
      </c>
      <c r="N274">
        <v>2</v>
      </c>
      <c r="O274" t="s">
        <v>1044</v>
      </c>
    </row>
    <row r="275" spans="1:15" x14ac:dyDescent="0.25">
      <c r="A275">
        <v>776</v>
      </c>
      <c r="B275" s="6">
        <v>45230</v>
      </c>
      <c r="C275" s="5" t="s">
        <v>295</v>
      </c>
      <c r="D275" s="5" t="s">
        <v>2</v>
      </c>
      <c r="E275">
        <v>35</v>
      </c>
      <c r="F275" s="5" t="s">
        <v>19</v>
      </c>
      <c r="G275">
        <v>3</v>
      </c>
      <c r="H275">
        <v>30</v>
      </c>
      <c r="I275">
        <v>90</v>
      </c>
      <c r="J275" t="s">
        <v>20</v>
      </c>
      <c r="K275" t="s">
        <v>1028</v>
      </c>
      <c r="L275" t="s">
        <v>1038</v>
      </c>
      <c r="M275" t="s">
        <v>1047</v>
      </c>
      <c r="N275">
        <v>10</v>
      </c>
      <c r="O275" t="s">
        <v>1049</v>
      </c>
    </row>
    <row r="276" spans="1:15" x14ac:dyDescent="0.25">
      <c r="A276">
        <v>824</v>
      </c>
      <c r="B276" s="6">
        <v>45051</v>
      </c>
      <c r="C276" s="5" t="s">
        <v>296</v>
      </c>
      <c r="D276" s="5" t="s">
        <v>2</v>
      </c>
      <c r="E276">
        <v>63</v>
      </c>
      <c r="F276" s="5" t="s">
        <v>19</v>
      </c>
      <c r="G276">
        <v>4</v>
      </c>
      <c r="H276">
        <v>30</v>
      </c>
      <c r="I276">
        <v>120</v>
      </c>
      <c r="J276" t="s">
        <v>24</v>
      </c>
      <c r="K276" t="s">
        <v>1030</v>
      </c>
      <c r="L276" t="s">
        <v>1038</v>
      </c>
      <c r="M276" t="s">
        <v>1041</v>
      </c>
      <c r="N276">
        <v>5</v>
      </c>
      <c r="O276" t="s">
        <v>1032</v>
      </c>
    </row>
    <row r="277" spans="1:15" x14ac:dyDescent="0.25">
      <c r="A277">
        <v>861</v>
      </c>
      <c r="B277" s="6">
        <v>44974</v>
      </c>
      <c r="C277" s="5" t="s">
        <v>297</v>
      </c>
      <c r="D277" s="5" t="s">
        <v>1</v>
      </c>
      <c r="E277">
        <v>41</v>
      </c>
      <c r="F277" s="5" t="s">
        <v>19</v>
      </c>
      <c r="G277">
        <v>3</v>
      </c>
      <c r="H277">
        <v>30</v>
      </c>
      <c r="I277">
        <v>90</v>
      </c>
      <c r="J277" t="s">
        <v>20</v>
      </c>
      <c r="K277" t="s">
        <v>1028</v>
      </c>
      <c r="L277" t="s">
        <v>1038</v>
      </c>
      <c r="M277" t="s">
        <v>1039</v>
      </c>
      <c r="N277">
        <v>2</v>
      </c>
      <c r="O277" t="s">
        <v>1044</v>
      </c>
    </row>
    <row r="278" spans="1:15" x14ac:dyDescent="0.25">
      <c r="A278">
        <v>876</v>
      </c>
      <c r="B278" s="6">
        <v>45208</v>
      </c>
      <c r="C278" s="5" t="s">
        <v>298</v>
      </c>
      <c r="D278" s="5" t="s">
        <v>2</v>
      </c>
      <c r="E278">
        <v>43</v>
      </c>
      <c r="F278" s="5" t="s">
        <v>19</v>
      </c>
      <c r="G278">
        <v>4</v>
      </c>
      <c r="H278">
        <v>30</v>
      </c>
      <c r="I278">
        <v>120</v>
      </c>
      <c r="J278" t="s">
        <v>20</v>
      </c>
      <c r="K278" t="s">
        <v>1028</v>
      </c>
      <c r="L278" t="s">
        <v>1038</v>
      </c>
      <c r="M278" t="s">
        <v>1047</v>
      </c>
      <c r="N278">
        <v>10</v>
      </c>
      <c r="O278" t="s">
        <v>1049</v>
      </c>
    </row>
    <row r="279" spans="1:15" x14ac:dyDescent="0.25">
      <c r="A279">
        <v>878</v>
      </c>
      <c r="B279" s="6">
        <v>45107</v>
      </c>
      <c r="C279" s="5" t="s">
        <v>299</v>
      </c>
      <c r="D279" s="5" t="s">
        <v>1</v>
      </c>
      <c r="E279">
        <v>20</v>
      </c>
      <c r="F279" s="5" t="s">
        <v>19</v>
      </c>
      <c r="G279">
        <v>1</v>
      </c>
      <c r="H279">
        <v>30</v>
      </c>
      <c r="I279">
        <v>30</v>
      </c>
      <c r="J279" t="s">
        <v>22</v>
      </c>
      <c r="K279" t="s">
        <v>1029</v>
      </c>
      <c r="L279" t="s">
        <v>1038</v>
      </c>
      <c r="M279" t="s">
        <v>1041</v>
      </c>
      <c r="N279">
        <v>6</v>
      </c>
      <c r="O279" t="s">
        <v>1050</v>
      </c>
    </row>
    <row r="280" spans="1:15" x14ac:dyDescent="0.25">
      <c r="A280">
        <v>879</v>
      </c>
      <c r="B280" s="6">
        <v>45286</v>
      </c>
      <c r="C280" s="5" t="s">
        <v>300</v>
      </c>
      <c r="D280" s="5" t="s">
        <v>2</v>
      </c>
      <c r="E280">
        <v>23</v>
      </c>
      <c r="F280" s="5" t="s">
        <v>19</v>
      </c>
      <c r="G280">
        <v>1</v>
      </c>
      <c r="H280">
        <v>30</v>
      </c>
      <c r="I280">
        <v>30</v>
      </c>
      <c r="J280" t="s">
        <v>22</v>
      </c>
      <c r="K280" t="s">
        <v>1029</v>
      </c>
      <c r="L280" t="s">
        <v>1038</v>
      </c>
      <c r="M280" t="s">
        <v>1047</v>
      </c>
      <c r="N280">
        <v>12</v>
      </c>
      <c r="O280" t="s">
        <v>1052</v>
      </c>
    </row>
    <row r="281" spans="1:15" x14ac:dyDescent="0.25">
      <c r="A281">
        <v>884</v>
      </c>
      <c r="B281" s="6">
        <v>45045</v>
      </c>
      <c r="C281" s="5" t="s">
        <v>301</v>
      </c>
      <c r="D281" s="5" t="s">
        <v>1</v>
      </c>
      <c r="E281">
        <v>26</v>
      </c>
      <c r="F281" s="5" t="s">
        <v>19</v>
      </c>
      <c r="G281">
        <v>2</v>
      </c>
      <c r="H281">
        <v>30</v>
      </c>
      <c r="I281">
        <v>60</v>
      </c>
      <c r="J281" t="s">
        <v>22</v>
      </c>
      <c r="K281" t="s">
        <v>1029</v>
      </c>
      <c r="L281" t="s">
        <v>1038</v>
      </c>
      <c r="M281" t="s">
        <v>1041</v>
      </c>
      <c r="N281">
        <v>4</v>
      </c>
      <c r="O281" t="s">
        <v>1042</v>
      </c>
    </row>
    <row r="282" spans="1:15" x14ac:dyDescent="0.25">
      <c r="A282">
        <v>885</v>
      </c>
      <c r="B282" s="6">
        <v>44988</v>
      </c>
      <c r="C282" s="5" t="s">
        <v>302</v>
      </c>
      <c r="D282" s="5" t="s">
        <v>1</v>
      </c>
      <c r="E282">
        <v>52</v>
      </c>
      <c r="F282" s="5" t="s">
        <v>19</v>
      </c>
      <c r="G282">
        <v>4</v>
      </c>
      <c r="H282">
        <v>30</v>
      </c>
      <c r="I282">
        <v>120</v>
      </c>
      <c r="J282" t="s">
        <v>20</v>
      </c>
      <c r="K282" t="s">
        <v>1028</v>
      </c>
      <c r="L282" t="s">
        <v>1038</v>
      </c>
      <c r="M282" t="s">
        <v>1039</v>
      </c>
      <c r="N282">
        <v>3</v>
      </c>
      <c r="O282" t="s">
        <v>1040</v>
      </c>
    </row>
    <row r="283" spans="1:15" x14ac:dyDescent="0.25">
      <c r="A283">
        <v>895</v>
      </c>
      <c r="B283" s="6">
        <v>45068</v>
      </c>
      <c r="C283" s="5" t="s">
        <v>303</v>
      </c>
      <c r="D283" s="5" t="s">
        <v>1</v>
      </c>
      <c r="E283">
        <v>55</v>
      </c>
      <c r="F283" s="5" t="s">
        <v>19</v>
      </c>
      <c r="G283">
        <v>4</v>
      </c>
      <c r="H283">
        <v>30</v>
      </c>
      <c r="I283">
        <v>120</v>
      </c>
      <c r="J283" t="s">
        <v>20</v>
      </c>
      <c r="K283" t="s">
        <v>1028</v>
      </c>
      <c r="L283" t="s">
        <v>1038</v>
      </c>
      <c r="M283" t="s">
        <v>1041</v>
      </c>
      <c r="N283">
        <v>5</v>
      </c>
      <c r="O283" t="s">
        <v>1032</v>
      </c>
    </row>
    <row r="284" spans="1:15" x14ac:dyDescent="0.25">
      <c r="A284">
        <v>898</v>
      </c>
      <c r="B284" s="6">
        <v>45232</v>
      </c>
      <c r="C284" s="5" t="s">
        <v>304</v>
      </c>
      <c r="D284" s="5" t="s">
        <v>1</v>
      </c>
      <c r="E284">
        <v>42</v>
      </c>
      <c r="F284" s="5" t="s">
        <v>19</v>
      </c>
      <c r="G284">
        <v>3</v>
      </c>
      <c r="H284">
        <v>30</v>
      </c>
      <c r="I284">
        <v>90</v>
      </c>
      <c r="J284" t="s">
        <v>20</v>
      </c>
      <c r="K284" t="s">
        <v>1028</v>
      </c>
      <c r="L284" t="s">
        <v>1038</v>
      </c>
      <c r="M284" t="s">
        <v>1047</v>
      </c>
      <c r="N284">
        <v>11</v>
      </c>
      <c r="O284" t="s">
        <v>1048</v>
      </c>
    </row>
    <row r="285" spans="1:15" x14ac:dyDescent="0.25">
      <c r="A285">
        <v>900</v>
      </c>
      <c r="B285" s="6">
        <v>44978</v>
      </c>
      <c r="C285" s="5" t="s">
        <v>305</v>
      </c>
      <c r="D285" s="5" t="s">
        <v>2</v>
      </c>
      <c r="E285">
        <v>21</v>
      </c>
      <c r="F285" s="5" t="s">
        <v>19</v>
      </c>
      <c r="G285">
        <v>2</v>
      </c>
      <c r="H285">
        <v>30</v>
      </c>
      <c r="I285">
        <v>60</v>
      </c>
      <c r="J285" t="s">
        <v>22</v>
      </c>
      <c r="K285" t="s">
        <v>1029</v>
      </c>
      <c r="L285" t="s">
        <v>1038</v>
      </c>
      <c r="M285" t="s">
        <v>1039</v>
      </c>
      <c r="N285">
        <v>2</v>
      </c>
      <c r="O285" t="s">
        <v>1044</v>
      </c>
    </row>
    <row r="286" spans="1:15" x14ac:dyDescent="0.25">
      <c r="A286">
        <v>960</v>
      </c>
      <c r="B286" s="6">
        <v>45146</v>
      </c>
      <c r="C286" s="5" t="s">
        <v>306</v>
      </c>
      <c r="D286" s="5" t="s">
        <v>2</v>
      </c>
      <c r="E286">
        <v>59</v>
      </c>
      <c r="F286" s="5" t="s">
        <v>19</v>
      </c>
      <c r="G286">
        <v>2</v>
      </c>
      <c r="H286">
        <v>30</v>
      </c>
      <c r="I286">
        <v>60</v>
      </c>
      <c r="J286" t="s">
        <v>24</v>
      </c>
      <c r="K286" t="s">
        <v>1030</v>
      </c>
      <c r="L286" t="s">
        <v>1038</v>
      </c>
      <c r="M286" t="s">
        <v>1033</v>
      </c>
      <c r="N286">
        <v>8</v>
      </c>
      <c r="O286" t="s">
        <v>1051</v>
      </c>
    </row>
    <row r="287" spans="1:15" x14ac:dyDescent="0.25">
      <c r="A287">
        <v>962</v>
      </c>
      <c r="B287" s="6">
        <v>45218</v>
      </c>
      <c r="C287" s="5" t="s">
        <v>307</v>
      </c>
      <c r="D287" s="5" t="s">
        <v>2</v>
      </c>
      <c r="E287">
        <v>44</v>
      </c>
      <c r="F287" s="5" t="s">
        <v>19</v>
      </c>
      <c r="G287">
        <v>2</v>
      </c>
      <c r="H287">
        <v>30</v>
      </c>
      <c r="I287">
        <v>60</v>
      </c>
      <c r="J287" t="s">
        <v>20</v>
      </c>
      <c r="K287" t="s">
        <v>1028</v>
      </c>
      <c r="L287" t="s">
        <v>1038</v>
      </c>
      <c r="M287" t="s">
        <v>1047</v>
      </c>
      <c r="N287">
        <v>10</v>
      </c>
      <c r="O287" t="s">
        <v>1049</v>
      </c>
    </row>
    <row r="288" spans="1:15" x14ac:dyDescent="0.25">
      <c r="A288">
        <v>995</v>
      </c>
      <c r="B288" s="6">
        <v>45046</v>
      </c>
      <c r="C288" s="5" t="s">
        <v>308</v>
      </c>
      <c r="D288" s="5" t="s">
        <v>1</v>
      </c>
      <c r="E288">
        <v>41</v>
      </c>
      <c r="F288" s="5" t="s">
        <v>19</v>
      </c>
      <c r="G288">
        <v>1</v>
      </c>
      <c r="H288">
        <v>30</v>
      </c>
      <c r="I288">
        <v>30</v>
      </c>
      <c r="J288" t="s">
        <v>20</v>
      </c>
      <c r="K288" t="s">
        <v>1028</v>
      </c>
      <c r="L288" t="s">
        <v>1038</v>
      </c>
      <c r="M288" t="s">
        <v>1041</v>
      </c>
      <c r="N288">
        <v>4</v>
      </c>
      <c r="O288" t="s">
        <v>1042</v>
      </c>
    </row>
    <row r="289" spans="1:15" x14ac:dyDescent="0.25">
      <c r="A289">
        <v>2</v>
      </c>
      <c r="B289" s="6">
        <v>44984</v>
      </c>
      <c r="C289" s="5" t="s">
        <v>309</v>
      </c>
      <c r="D289" s="5" t="s">
        <v>1</v>
      </c>
      <c r="E289">
        <v>26</v>
      </c>
      <c r="F289" s="5" t="s">
        <v>19</v>
      </c>
      <c r="G289">
        <v>2</v>
      </c>
      <c r="H289">
        <v>500</v>
      </c>
      <c r="I289">
        <v>1000</v>
      </c>
      <c r="J289" t="s">
        <v>22</v>
      </c>
      <c r="K289" t="s">
        <v>1029</v>
      </c>
      <c r="L289" t="s">
        <v>1038</v>
      </c>
      <c r="M289" t="s">
        <v>1039</v>
      </c>
      <c r="N289">
        <v>2</v>
      </c>
      <c r="O289" t="s">
        <v>1044</v>
      </c>
    </row>
    <row r="290" spans="1:15" x14ac:dyDescent="0.25">
      <c r="A290">
        <v>4</v>
      </c>
      <c r="B290" s="6">
        <v>45067</v>
      </c>
      <c r="C290" s="5" t="s">
        <v>310</v>
      </c>
      <c r="D290" s="5" t="s">
        <v>2</v>
      </c>
      <c r="E290">
        <v>37</v>
      </c>
      <c r="F290" s="5" t="s">
        <v>19</v>
      </c>
      <c r="G290">
        <v>1</v>
      </c>
      <c r="H290">
        <v>500</v>
      </c>
      <c r="I290">
        <v>500</v>
      </c>
      <c r="J290" t="s">
        <v>20</v>
      </c>
      <c r="K290" t="s">
        <v>1028</v>
      </c>
      <c r="L290" t="s">
        <v>1038</v>
      </c>
      <c r="M290" t="s">
        <v>1041</v>
      </c>
      <c r="N290">
        <v>5</v>
      </c>
      <c r="O290" t="s">
        <v>1032</v>
      </c>
    </row>
    <row r="291" spans="1:15" x14ac:dyDescent="0.25">
      <c r="A291">
        <v>16</v>
      </c>
      <c r="B291" s="6">
        <v>44974</v>
      </c>
      <c r="C291" s="5" t="s">
        <v>311</v>
      </c>
      <c r="D291" s="5" t="s">
        <v>2</v>
      </c>
      <c r="E291">
        <v>19</v>
      </c>
      <c r="F291" s="5" t="s">
        <v>19</v>
      </c>
      <c r="G291">
        <v>3</v>
      </c>
      <c r="H291">
        <v>500</v>
      </c>
      <c r="I291">
        <v>1500</v>
      </c>
      <c r="J291" t="s">
        <v>22</v>
      </c>
      <c r="K291" t="s">
        <v>1029</v>
      </c>
      <c r="L291" t="s">
        <v>1038</v>
      </c>
      <c r="M291" t="s">
        <v>1039</v>
      </c>
      <c r="N291">
        <v>2</v>
      </c>
      <c r="O291" t="s">
        <v>1044</v>
      </c>
    </row>
    <row r="292" spans="1:15" x14ac:dyDescent="0.25">
      <c r="A292">
        <v>78</v>
      </c>
      <c r="B292" s="6">
        <v>45108</v>
      </c>
      <c r="C292" s="5" t="s">
        <v>312</v>
      </c>
      <c r="D292" s="5" t="s">
        <v>1</v>
      </c>
      <c r="E292">
        <v>47</v>
      </c>
      <c r="F292" s="5" t="s">
        <v>19</v>
      </c>
      <c r="G292">
        <v>3</v>
      </c>
      <c r="H292">
        <v>500</v>
      </c>
      <c r="I292">
        <v>1500</v>
      </c>
      <c r="J292" t="s">
        <v>20</v>
      </c>
      <c r="K292" t="s">
        <v>1028</v>
      </c>
      <c r="L292" t="s">
        <v>1038</v>
      </c>
      <c r="M292" t="s">
        <v>1033</v>
      </c>
      <c r="N292">
        <v>7</v>
      </c>
      <c r="O292" t="s">
        <v>1046</v>
      </c>
    </row>
    <row r="293" spans="1:15" x14ac:dyDescent="0.25">
      <c r="A293">
        <v>88</v>
      </c>
      <c r="B293" s="6">
        <v>45014</v>
      </c>
      <c r="C293" s="5" t="s">
        <v>313</v>
      </c>
      <c r="D293" s="5" t="s">
        <v>2</v>
      </c>
      <c r="E293">
        <v>56</v>
      </c>
      <c r="F293" s="5" t="s">
        <v>19</v>
      </c>
      <c r="G293">
        <v>1</v>
      </c>
      <c r="H293">
        <v>500</v>
      </c>
      <c r="I293">
        <v>500</v>
      </c>
      <c r="J293" t="s">
        <v>24</v>
      </c>
      <c r="K293" t="s">
        <v>1030</v>
      </c>
      <c r="L293" t="s">
        <v>1038</v>
      </c>
      <c r="M293" t="s">
        <v>1039</v>
      </c>
      <c r="N293">
        <v>3</v>
      </c>
      <c r="O293" t="s">
        <v>1040</v>
      </c>
    </row>
    <row r="294" spans="1:15" x14ac:dyDescent="0.25">
      <c r="A294">
        <v>112</v>
      </c>
      <c r="B294" s="6">
        <v>45262</v>
      </c>
      <c r="C294" s="5" t="s">
        <v>314</v>
      </c>
      <c r="D294" s="5" t="s">
        <v>2</v>
      </c>
      <c r="E294">
        <v>37</v>
      </c>
      <c r="F294" s="5" t="s">
        <v>19</v>
      </c>
      <c r="G294">
        <v>3</v>
      </c>
      <c r="H294">
        <v>500</v>
      </c>
      <c r="I294">
        <v>1500</v>
      </c>
      <c r="J294" t="s">
        <v>20</v>
      </c>
      <c r="K294" t="s">
        <v>1028</v>
      </c>
      <c r="L294" t="s">
        <v>1038</v>
      </c>
      <c r="M294" t="s">
        <v>1047</v>
      </c>
      <c r="N294">
        <v>12</v>
      </c>
      <c r="O294" t="s">
        <v>1052</v>
      </c>
    </row>
    <row r="295" spans="1:15" x14ac:dyDescent="0.25">
      <c r="A295">
        <v>115</v>
      </c>
      <c r="B295" s="6">
        <v>45256</v>
      </c>
      <c r="C295" s="5" t="s">
        <v>315</v>
      </c>
      <c r="D295" s="5" t="s">
        <v>2</v>
      </c>
      <c r="E295">
        <v>51</v>
      </c>
      <c r="F295" s="5" t="s">
        <v>19</v>
      </c>
      <c r="G295">
        <v>3</v>
      </c>
      <c r="H295">
        <v>500</v>
      </c>
      <c r="I295">
        <v>1500</v>
      </c>
      <c r="J295" t="s">
        <v>20</v>
      </c>
      <c r="K295" t="s">
        <v>1028</v>
      </c>
      <c r="L295" t="s">
        <v>1038</v>
      </c>
      <c r="M295" t="s">
        <v>1047</v>
      </c>
      <c r="N295">
        <v>11</v>
      </c>
      <c r="O295" t="s">
        <v>1048</v>
      </c>
    </row>
    <row r="296" spans="1:15" x14ac:dyDescent="0.25">
      <c r="A296">
        <v>124</v>
      </c>
      <c r="B296" s="6">
        <v>45226</v>
      </c>
      <c r="C296" s="5" t="s">
        <v>316</v>
      </c>
      <c r="D296" s="5" t="s">
        <v>2</v>
      </c>
      <c r="E296">
        <v>33</v>
      </c>
      <c r="F296" s="5" t="s">
        <v>19</v>
      </c>
      <c r="G296">
        <v>4</v>
      </c>
      <c r="H296">
        <v>500</v>
      </c>
      <c r="I296">
        <v>2000</v>
      </c>
      <c r="J296" t="s">
        <v>20</v>
      </c>
      <c r="K296" t="s">
        <v>1028</v>
      </c>
      <c r="L296" t="s">
        <v>1038</v>
      </c>
      <c r="M296" t="s">
        <v>1047</v>
      </c>
      <c r="N296">
        <v>10</v>
      </c>
      <c r="O296" t="s">
        <v>1049</v>
      </c>
    </row>
    <row r="297" spans="1:15" x14ac:dyDescent="0.25">
      <c r="A297">
        <v>130</v>
      </c>
      <c r="B297" s="6">
        <v>44997</v>
      </c>
      <c r="C297" s="5" t="s">
        <v>317</v>
      </c>
      <c r="D297" s="5" t="s">
        <v>1</v>
      </c>
      <c r="E297">
        <v>57</v>
      </c>
      <c r="F297" s="5" t="s">
        <v>19</v>
      </c>
      <c r="G297">
        <v>1</v>
      </c>
      <c r="H297">
        <v>500</v>
      </c>
      <c r="I297">
        <v>500</v>
      </c>
      <c r="J297" t="s">
        <v>24</v>
      </c>
      <c r="K297" t="s">
        <v>1030</v>
      </c>
      <c r="L297" t="s">
        <v>1038</v>
      </c>
      <c r="M297" t="s">
        <v>1039</v>
      </c>
      <c r="N297">
        <v>3</v>
      </c>
      <c r="O297" t="s">
        <v>1040</v>
      </c>
    </row>
    <row r="298" spans="1:15" x14ac:dyDescent="0.25">
      <c r="A298">
        <v>166</v>
      </c>
      <c r="B298" s="6">
        <v>45018</v>
      </c>
      <c r="C298" s="5" t="s">
        <v>318</v>
      </c>
      <c r="D298" s="5" t="s">
        <v>2</v>
      </c>
      <c r="E298">
        <v>34</v>
      </c>
      <c r="F298" s="5" t="s">
        <v>19</v>
      </c>
      <c r="G298">
        <v>4</v>
      </c>
      <c r="H298">
        <v>500</v>
      </c>
      <c r="I298">
        <v>2000</v>
      </c>
      <c r="J298" t="s">
        <v>20</v>
      </c>
      <c r="K298" t="s">
        <v>1028</v>
      </c>
      <c r="L298" t="s">
        <v>1038</v>
      </c>
      <c r="M298" t="s">
        <v>1041</v>
      </c>
      <c r="N298">
        <v>4</v>
      </c>
      <c r="O298" t="s">
        <v>1042</v>
      </c>
    </row>
    <row r="299" spans="1:15" x14ac:dyDescent="0.25">
      <c r="A299">
        <v>203</v>
      </c>
      <c r="B299" s="6">
        <v>45062</v>
      </c>
      <c r="C299" s="5" t="s">
        <v>319</v>
      </c>
      <c r="D299" s="5" t="s">
        <v>2</v>
      </c>
      <c r="E299">
        <v>56</v>
      </c>
      <c r="F299" s="5" t="s">
        <v>19</v>
      </c>
      <c r="G299">
        <v>2</v>
      </c>
      <c r="H299">
        <v>500</v>
      </c>
      <c r="I299">
        <v>1000</v>
      </c>
      <c r="J299" t="s">
        <v>24</v>
      </c>
      <c r="K299" t="s">
        <v>1030</v>
      </c>
      <c r="L299" t="s">
        <v>1038</v>
      </c>
      <c r="M299" t="s">
        <v>1041</v>
      </c>
      <c r="N299">
        <v>5</v>
      </c>
      <c r="O299" t="s">
        <v>1032</v>
      </c>
    </row>
    <row r="300" spans="1:15" x14ac:dyDescent="0.25">
      <c r="A300">
        <v>212</v>
      </c>
      <c r="B300" s="6">
        <v>45086</v>
      </c>
      <c r="C300" s="5" t="s">
        <v>320</v>
      </c>
      <c r="D300" s="5" t="s">
        <v>2</v>
      </c>
      <c r="E300">
        <v>21</v>
      </c>
      <c r="F300" s="5" t="s">
        <v>19</v>
      </c>
      <c r="G300">
        <v>3</v>
      </c>
      <c r="H300">
        <v>500</v>
      </c>
      <c r="I300">
        <v>1500</v>
      </c>
      <c r="J300" t="s">
        <v>22</v>
      </c>
      <c r="K300" t="s">
        <v>1029</v>
      </c>
      <c r="L300" t="s">
        <v>1038</v>
      </c>
      <c r="M300" t="s">
        <v>1041</v>
      </c>
      <c r="N300">
        <v>6</v>
      </c>
      <c r="O300" t="s">
        <v>1050</v>
      </c>
    </row>
    <row r="301" spans="1:15" x14ac:dyDescent="0.25">
      <c r="A301">
        <v>215</v>
      </c>
      <c r="B301" s="6">
        <v>45259</v>
      </c>
      <c r="C301" s="5" t="s">
        <v>321</v>
      </c>
      <c r="D301" s="5" t="s">
        <v>2</v>
      </c>
      <c r="E301">
        <v>58</v>
      </c>
      <c r="F301" s="5" t="s">
        <v>19</v>
      </c>
      <c r="G301">
        <v>3</v>
      </c>
      <c r="H301">
        <v>500</v>
      </c>
      <c r="I301">
        <v>1500</v>
      </c>
      <c r="J301" t="s">
        <v>24</v>
      </c>
      <c r="K301" t="s">
        <v>1030</v>
      </c>
      <c r="L301" t="s">
        <v>1038</v>
      </c>
      <c r="M301" t="s">
        <v>1047</v>
      </c>
      <c r="N301">
        <v>11</v>
      </c>
      <c r="O301" t="s">
        <v>1048</v>
      </c>
    </row>
    <row r="302" spans="1:15" x14ac:dyDescent="0.25">
      <c r="A302">
        <v>253</v>
      </c>
      <c r="B302" s="6">
        <v>45169</v>
      </c>
      <c r="C302" s="5" t="s">
        <v>322</v>
      </c>
      <c r="D302" s="5" t="s">
        <v>1</v>
      </c>
      <c r="E302">
        <v>53</v>
      </c>
      <c r="F302" s="5" t="s">
        <v>19</v>
      </c>
      <c r="G302">
        <v>4</v>
      </c>
      <c r="H302">
        <v>500</v>
      </c>
      <c r="I302">
        <v>2000</v>
      </c>
      <c r="J302" t="s">
        <v>20</v>
      </c>
      <c r="K302" t="s">
        <v>1028</v>
      </c>
      <c r="L302" t="s">
        <v>1038</v>
      </c>
      <c r="M302" t="s">
        <v>1033</v>
      </c>
      <c r="N302">
        <v>8</v>
      </c>
      <c r="O302" t="s">
        <v>1051</v>
      </c>
    </row>
    <row r="303" spans="1:15" x14ac:dyDescent="0.25">
      <c r="A303">
        <v>256</v>
      </c>
      <c r="B303" s="6">
        <v>44975</v>
      </c>
      <c r="C303" s="5" t="s">
        <v>323</v>
      </c>
      <c r="D303" s="5" t="s">
        <v>2</v>
      </c>
      <c r="E303">
        <v>23</v>
      </c>
      <c r="F303" s="5" t="s">
        <v>19</v>
      </c>
      <c r="G303">
        <v>2</v>
      </c>
      <c r="H303">
        <v>500</v>
      </c>
      <c r="I303">
        <v>1000</v>
      </c>
      <c r="J303" t="s">
        <v>22</v>
      </c>
      <c r="K303" t="s">
        <v>1029</v>
      </c>
      <c r="L303" t="s">
        <v>1038</v>
      </c>
      <c r="M303" t="s">
        <v>1039</v>
      </c>
      <c r="N303">
        <v>2</v>
      </c>
      <c r="O303" t="s">
        <v>1044</v>
      </c>
    </row>
    <row r="304" spans="1:15" x14ac:dyDescent="0.25">
      <c r="A304">
        <v>269</v>
      </c>
      <c r="B304" s="6">
        <v>44958</v>
      </c>
      <c r="C304" s="5" t="s">
        <v>324</v>
      </c>
      <c r="D304" s="5" t="s">
        <v>2</v>
      </c>
      <c r="E304">
        <v>25</v>
      </c>
      <c r="F304" s="5" t="s">
        <v>19</v>
      </c>
      <c r="G304">
        <v>4</v>
      </c>
      <c r="H304">
        <v>500</v>
      </c>
      <c r="I304">
        <v>2000</v>
      </c>
      <c r="J304" t="s">
        <v>22</v>
      </c>
      <c r="K304" t="s">
        <v>1029</v>
      </c>
      <c r="L304" t="s">
        <v>1038</v>
      </c>
      <c r="M304" t="s">
        <v>1039</v>
      </c>
      <c r="N304">
        <v>2</v>
      </c>
      <c r="O304" t="s">
        <v>1044</v>
      </c>
    </row>
    <row r="305" spans="1:15" x14ac:dyDescent="0.25">
      <c r="A305">
        <v>274</v>
      </c>
      <c r="B305" s="6">
        <v>45025</v>
      </c>
      <c r="C305" s="5" t="s">
        <v>325</v>
      </c>
      <c r="D305" s="5" t="s">
        <v>1</v>
      </c>
      <c r="E305">
        <v>23</v>
      </c>
      <c r="F305" s="5" t="s">
        <v>19</v>
      </c>
      <c r="G305">
        <v>2</v>
      </c>
      <c r="H305">
        <v>500</v>
      </c>
      <c r="I305">
        <v>1000</v>
      </c>
      <c r="J305" t="s">
        <v>22</v>
      </c>
      <c r="K305" t="s">
        <v>1029</v>
      </c>
      <c r="L305" t="s">
        <v>1038</v>
      </c>
      <c r="M305" t="s">
        <v>1041</v>
      </c>
      <c r="N305">
        <v>4</v>
      </c>
      <c r="O305" t="s">
        <v>1042</v>
      </c>
    </row>
    <row r="306" spans="1:15" x14ac:dyDescent="0.25">
      <c r="A306">
        <v>275</v>
      </c>
      <c r="B306" s="6">
        <v>45024</v>
      </c>
      <c r="C306" s="5" t="s">
        <v>326</v>
      </c>
      <c r="D306" s="5" t="s">
        <v>2</v>
      </c>
      <c r="E306">
        <v>43</v>
      </c>
      <c r="F306" s="5" t="s">
        <v>19</v>
      </c>
      <c r="G306">
        <v>2</v>
      </c>
      <c r="H306">
        <v>500</v>
      </c>
      <c r="I306">
        <v>1000</v>
      </c>
      <c r="J306" t="s">
        <v>20</v>
      </c>
      <c r="K306" t="s">
        <v>1028</v>
      </c>
      <c r="L306" t="s">
        <v>1038</v>
      </c>
      <c r="M306" t="s">
        <v>1041</v>
      </c>
      <c r="N306">
        <v>4</v>
      </c>
      <c r="O306" t="s">
        <v>1042</v>
      </c>
    </row>
    <row r="307" spans="1:15" x14ac:dyDescent="0.25">
      <c r="A307">
        <v>279</v>
      </c>
      <c r="B307" s="6">
        <v>45143</v>
      </c>
      <c r="C307" s="5" t="s">
        <v>327</v>
      </c>
      <c r="D307" s="5" t="s">
        <v>2</v>
      </c>
      <c r="E307">
        <v>50</v>
      </c>
      <c r="F307" s="5" t="s">
        <v>19</v>
      </c>
      <c r="G307">
        <v>1</v>
      </c>
      <c r="H307">
        <v>500</v>
      </c>
      <c r="I307">
        <v>500</v>
      </c>
      <c r="J307" t="s">
        <v>20</v>
      </c>
      <c r="K307" t="s">
        <v>1028</v>
      </c>
      <c r="L307" t="s">
        <v>1038</v>
      </c>
      <c r="M307" t="s">
        <v>1033</v>
      </c>
      <c r="N307">
        <v>8</v>
      </c>
      <c r="O307" t="s">
        <v>1051</v>
      </c>
    </row>
    <row r="308" spans="1:15" x14ac:dyDescent="0.25">
      <c r="A308">
        <v>280</v>
      </c>
      <c r="B308" s="6">
        <v>45020</v>
      </c>
      <c r="C308" s="5" t="s">
        <v>328</v>
      </c>
      <c r="D308" s="5" t="s">
        <v>1</v>
      </c>
      <c r="E308">
        <v>37</v>
      </c>
      <c r="F308" s="5" t="s">
        <v>19</v>
      </c>
      <c r="G308">
        <v>3</v>
      </c>
      <c r="H308">
        <v>500</v>
      </c>
      <c r="I308">
        <v>1500</v>
      </c>
      <c r="J308" t="s">
        <v>20</v>
      </c>
      <c r="K308" t="s">
        <v>1028</v>
      </c>
      <c r="L308" t="s">
        <v>1038</v>
      </c>
      <c r="M308" t="s">
        <v>1041</v>
      </c>
      <c r="N308">
        <v>4</v>
      </c>
      <c r="O308" t="s">
        <v>1042</v>
      </c>
    </row>
    <row r="309" spans="1:15" x14ac:dyDescent="0.25">
      <c r="A309">
        <v>319</v>
      </c>
      <c r="B309" s="6">
        <v>45204</v>
      </c>
      <c r="C309" s="5" t="s">
        <v>329</v>
      </c>
      <c r="D309" s="5" t="s">
        <v>2</v>
      </c>
      <c r="E309">
        <v>31</v>
      </c>
      <c r="F309" s="5" t="s">
        <v>19</v>
      </c>
      <c r="G309">
        <v>1</v>
      </c>
      <c r="H309">
        <v>500</v>
      </c>
      <c r="I309">
        <v>500</v>
      </c>
      <c r="J309" t="s">
        <v>20</v>
      </c>
      <c r="K309" t="s">
        <v>1028</v>
      </c>
      <c r="L309" t="s">
        <v>1038</v>
      </c>
      <c r="M309" t="s">
        <v>1047</v>
      </c>
      <c r="N309">
        <v>10</v>
      </c>
      <c r="O309" t="s">
        <v>1049</v>
      </c>
    </row>
    <row r="310" spans="1:15" x14ac:dyDescent="0.25">
      <c r="A310">
        <v>337</v>
      </c>
      <c r="B310" s="6">
        <v>45047</v>
      </c>
      <c r="C310" s="5" t="s">
        <v>330</v>
      </c>
      <c r="D310" s="5" t="s">
        <v>2</v>
      </c>
      <c r="E310">
        <v>38</v>
      </c>
      <c r="F310" s="5" t="s">
        <v>19</v>
      </c>
      <c r="G310">
        <v>1</v>
      </c>
      <c r="H310">
        <v>500</v>
      </c>
      <c r="I310">
        <v>500</v>
      </c>
      <c r="J310" t="s">
        <v>20</v>
      </c>
      <c r="K310" t="s">
        <v>1028</v>
      </c>
      <c r="L310" t="s">
        <v>1038</v>
      </c>
      <c r="M310" t="s">
        <v>1041</v>
      </c>
      <c r="N310">
        <v>5</v>
      </c>
      <c r="O310" t="s">
        <v>1032</v>
      </c>
    </row>
    <row r="311" spans="1:15" x14ac:dyDescent="0.25">
      <c r="A311">
        <v>342</v>
      </c>
      <c r="B311" s="6">
        <v>45223</v>
      </c>
      <c r="C311" s="5" t="s">
        <v>331</v>
      </c>
      <c r="D311" s="5" t="s">
        <v>1</v>
      </c>
      <c r="E311">
        <v>43</v>
      </c>
      <c r="F311" s="5" t="s">
        <v>19</v>
      </c>
      <c r="G311">
        <v>4</v>
      </c>
      <c r="H311">
        <v>500</v>
      </c>
      <c r="I311">
        <v>2000</v>
      </c>
      <c r="J311" t="s">
        <v>20</v>
      </c>
      <c r="K311" t="s">
        <v>1028</v>
      </c>
      <c r="L311" t="s">
        <v>1038</v>
      </c>
      <c r="M311" t="s">
        <v>1047</v>
      </c>
      <c r="N311">
        <v>10</v>
      </c>
      <c r="O311" t="s">
        <v>1049</v>
      </c>
    </row>
    <row r="312" spans="1:15" x14ac:dyDescent="0.25">
      <c r="A312">
        <v>346</v>
      </c>
      <c r="B312" s="6">
        <v>44968</v>
      </c>
      <c r="C312" s="5" t="s">
        <v>332</v>
      </c>
      <c r="D312" s="5" t="s">
        <v>2</v>
      </c>
      <c r="E312">
        <v>59</v>
      </c>
      <c r="F312" s="5" t="s">
        <v>19</v>
      </c>
      <c r="G312">
        <v>2</v>
      </c>
      <c r="H312">
        <v>500</v>
      </c>
      <c r="I312">
        <v>1000</v>
      </c>
      <c r="J312" t="s">
        <v>24</v>
      </c>
      <c r="K312" t="s">
        <v>1030</v>
      </c>
      <c r="L312" t="s">
        <v>1038</v>
      </c>
      <c r="M312" t="s">
        <v>1039</v>
      </c>
      <c r="N312">
        <v>2</v>
      </c>
      <c r="O312" t="s">
        <v>1044</v>
      </c>
    </row>
    <row r="313" spans="1:15" x14ac:dyDescent="0.25">
      <c r="A313">
        <v>382</v>
      </c>
      <c r="B313" s="6">
        <v>45072</v>
      </c>
      <c r="C313" s="5" t="s">
        <v>333</v>
      </c>
      <c r="D313" s="5" t="s">
        <v>1</v>
      </c>
      <c r="E313">
        <v>53</v>
      </c>
      <c r="F313" s="5" t="s">
        <v>19</v>
      </c>
      <c r="G313">
        <v>2</v>
      </c>
      <c r="H313">
        <v>500</v>
      </c>
      <c r="I313">
        <v>1000</v>
      </c>
      <c r="J313" t="s">
        <v>20</v>
      </c>
      <c r="K313" t="s">
        <v>1028</v>
      </c>
      <c r="L313" t="s">
        <v>1038</v>
      </c>
      <c r="M313" t="s">
        <v>1041</v>
      </c>
      <c r="N313">
        <v>5</v>
      </c>
      <c r="O313" t="s">
        <v>1032</v>
      </c>
    </row>
    <row r="314" spans="1:15" x14ac:dyDescent="0.25">
      <c r="A314">
        <v>384</v>
      </c>
      <c r="B314" s="6">
        <v>45151</v>
      </c>
      <c r="C314" s="5" t="s">
        <v>334</v>
      </c>
      <c r="D314" s="5" t="s">
        <v>2</v>
      </c>
      <c r="E314">
        <v>55</v>
      </c>
      <c r="F314" s="5" t="s">
        <v>19</v>
      </c>
      <c r="G314">
        <v>1</v>
      </c>
      <c r="H314">
        <v>500</v>
      </c>
      <c r="I314">
        <v>500</v>
      </c>
      <c r="J314" t="s">
        <v>20</v>
      </c>
      <c r="K314" t="s">
        <v>1028</v>
      </c>
      <c r="L314" t="s">
        <v>1038</v>
      </c>
      <c r="M314" t="s">
        <v>1033</v>
      </c>
      <c r="N314">
        <v>8</v>
      </c>
      <c r="O314" t="s">
        <v>1051</v>
      </c>
    </row>
    <row r="315" spans="1:15" x14ac:dyDescent="0.25">
      <c r="A315">
        <v>394</v>
      </c>
      <c r="B315" s="6">
        <v>45080</v>
      </c>
      <c r="C315" s="5" t="s">
        <v>335</v>
      </c>
      <c r="D315" s="5" t="s">
        <v>1</v>
      </c>
      <c r="E315">
        <v>27</v>
      </c>
      <c r="F315" s="5" t="s">
        <v>19</v>
      </c>
      <c r="G315">
        <v>1</v>
      </c>
      <c r="H315">
        <v>500</v>
      </c>
      <c r="I315">
        <v>500</v>
      </c>
      <c r="J315" t="s">
        <v>22</v>
      </c>
      <c r="K315" t="s">
        <v>1029</v>
      </c>
      <c r="L315" t="s">
        <v>1038</v>
      </c>
      <c r="M315" t="s">
        <v>1041</v>
      </c>
      <c r="N315">
        <v>6</v>
      </c>
      <c r="O315" t="s">
        <v>1050</v>
      </c>
    </row>
    <row r="316" spans="1:15" x14ac:dyDescent="0.25">
      <c r="A316">
        <v>420</v>
      </c>
      <c r="B316" s="6">
        <v>44949</v>
      </c>
      <c r="C316" s="5" t="s">
        <v>336</v>
      </c>
      <c r="D316" s="5" t="s">
        <v>1</v>
      </c>
      <c r="E316">
        <v>22</v>
      </c>
      <c r="F316" s="5" t="s">
        <v>19</v>
      </c>
      <c r="G316">
        <v>4</v>
      </c>
      <c r="H316">
        <v>500</v>
      </c>
      <c r="I316">
        <v>2000</v>
      </c>
      <c r="J316" t="s">
        <v>22</v>
      </c>
      <c r="K316" t="s">
        <v>1029</v>
      </c>
      <c r="L316" t="s">
        <v>1038</v>
      </c>
      <c r="M316" t="s">
        <v>1039</v>
      </c>
      <c r="N316">
        <v>1</v>
      </c>
      <c r="O316" t="s">
        <v>1045</v>
      </c>
    </row>
    <row r="317" spans="1:15" x14ac:dyDescent="0.25">
      <c r="A317">
        <v>421</v>
      </c>
      <c r="B317" s="6">
        <v>44928</v>
      </c>
      <c r="C317" s="5" t="s">
        <v>337</v>
      </c>
      <c r="D317" s="5" t="s">
        <v>1</v>
      </c>
      <c r="E317">
        <v>37</v>
      </c>
      <c r="F317" s="5" t="s">
        <v>19</v>
      </c>
      <c r="G317">
        <v>3</v>
      </c>
      <c r="H317">
        <v>500</v>
      </c>
      <c r="I317">
        <v>1500</v>
      </c>
      <c r="J317" t="s">
        <v>20</v>
      </c>
      <c r="K317" t="s">
        <v>1028</v>
      </c>
      <c r="L317" t="s">
        <v>1038</v>
      </c>
      <c r="M317" t="s">
        <v>1039</v>
      </c>
      <c r="N317">
        <v>1</v>
      </c>
      <c r="O317" t="s">
        <v>1045</v>
      </c>
    </row>
    <row r="318" spans="1:15" x14ac:dyDescent="0.25">
      <c r="A318">
        <v>452</v>
      </c>
      <c r="B318" s="6">
        <v>45054</v>
      </c>
      <c r="C318" s="5" t="s">
        <v>338</v>
      </c>
      <c r="D318" s="5" t="s">
        <v>1</v>
      </c>
      <c r="E318">
        <v>48</v>
      </c>
      <c r="F318" s="5" t="s">
        <v>19</v>
      </c>
      <c r="G318">
        <v>3</v>
      </c>
      <c r="H318">
        <v>500</v>
      </c>
      <c r="I318">
        <v>1500</v>
      </c>
      <c r="J318" t="s">
        <v>20</v>
      </c>
      <c r="K318" t="s">
        <v>1028</v>
      </c>
      <c r="L318" t="s">
        <v>1038</v>
      </c>
      <c r="M318" t="s">
        <v>1041</v>
      </c>
      <c r="N318">
        <v>5</v>
      </c>
      <c r="O318" t="s">
        <v>1032</v>
      </c>
    </row>
    <row r="319" spans="1:15" x14ac:dyDescent="0.25">
      <c r="A319">
        <v>453</v>
      </c>
      <c r="B319" s="6">
        <v>45268</v>
      </c>
      <c r="C319" s="5" t="s">
        <v>339</v>
      </c>
      <c r="D319" s="5" t="s">
        <v>1</v>
      </c>
      <c r="E319">
        <v>26</v>
      </c>
      <c r="F319" s="5" t="s">
        <v>19</v>
      </c>
      <c r="G319">
        <v>2</v>
      </c>
      <c r="H319">
        <v>500</v>
      </c>
      <c r="I319">
        <v>1000</v>
      </c>
      <c r="J319" t="s">
        <v>22</v>
      </c>
      <c r="K319" t="s">
        <v>1029</v>
      </c>
      <c r="L319" t="s">
        <v>1038</v>
      </c>
      <c r="M319" t="s">
        <v>1047</v>
      </c>
      <c r="N319">
        <v>12</v>
      </c>
      <c r="O319" t="s">
        <v>1052</v>
      </c>
    </row>
    <row r="320" spans="1:15" x14ac:dyDescent="0.25">
      <c r="A320">
        <v>470</v>
      </c>
      <c r="B320" s="6">
        <v>45063</v>
      </c>
      <c r="C320" s="5" t="s">
        <v>340</v>
      </c>
      <c r="D320" s="5" t="s">
        <v>1</v>
      </c>
      <c r="E320">
        <v>57</v>
      </c>
      <c r="F320" s="5" t="s">
        <v>19</v>
      </c>
      <c r="G320">
        <v>2</v>
      </c>
      <c r="H320">
        <v>500</v>
      </c>
      <c r="I320">
        <v>1000</v>
      </c>
      <c r="J320" t="s">
        <v>24</v>
      </c>
      <c r="K320" t="s">
        <v>1030</v>
      </c>
      <c r="L320" t="s">
        <v>1038</v>
      </c>
      <c r="M320" t="s">
        <v>1041</v>
      </c>
      <c r="N320">
        <v>5</v>
      </c>
      <c r="O320" t="s">
        <v>1032</v>
      </c>
    </row>
    <row r="321" spans="1:15" x14ac:dyDescent="0.25">
      <c r="A321">
        <v>474</v>
      </c>
      <c r="B321" s="6">
        <v>45122</v>
      </c>
      <c r="C321" s="5" t="s">
        <v>341</v>
      </c>
      <c r="D321" s="5" t="s">
        <v>1</v>
      </c>
      <c r="E321">
        <v>26</v>
      </c>
      <c r="F321" s="5" t="s">
        <v>19</v>
      </c>
      <c r="G321">
        <v>3</v>
      </c>
      <c r="H321">
        <v>500</v>
      </c>
      <c r="I321">
        <v>1500</v>
      </c>
      <c r="J321" t="s">
        <v>22</v>
      </c>
      <c r="K321" t="s">
        <v>1029</v>
      </c>
      <c r="L321" t="s">
        <v>1038</v>
      </c>
      <c r="M321" t="s">
        <v>1033</v>
      </c>
      <c r="N321">
        <v>7</v>
      </c>
      <c r="O321" t="s">
        <v>1046</v>
      </c>
    </row>
    <row r="322" spans="1:15" x14ac:dyDescent="0.25">
      <c r="A322">
        <v>476</v>
      </c>
      <c r="B322" s="6">
        <v>45167</v>
      </c>
      <c r="C322" s="5" t="s">
        <v>342</v>
      </c>
      <c r="D322" s="5" t="s">
        <v>1</v>
      </c>
      <c r="E322">
        <v>27</v>
      </c>
      <c r="F322" s="5" t="s">
        <v>19</v>
      </c>
      <c r="G322">
        <v>4</v>
      </c>
      <c r="H322">
        <v>500</v>
      </c>
      <c r="I322">
        <v>2000</v>
      </c>
      <c r="J322" t="s">
        <v>22</v>
      </c>
      <c r="K322" t="s">
        <v>1029</v>
      </c>
      <c r="L322" t="s">
        <v>1038</v>
      </c>
      <c r="M322" t="s">
        <v>1033</v>
      </c>
      <c r="N322">
        <v>8</v>
      </c>
      <c r="O322" t="s">
        <v>1051</v>
      </c>
    </row>
    <row r="323" spans="1:15" x14ac:dyDescent="0.25">
      <c r="A323">
        <v>487</v>
      </c>
      <c r="B323" s="6">
        <v>45131</v>
      </c>
      <c r="C323" s="5" t="s">
        <v>343</v>
      </c>
      <c r="D323" s="5" t="s">
        <v>2</v>
      </c>
      <c r="E323">
        <v>44</v>
      </c>
      <c r="F323" s="5" t="s">
        <v>19</v>
      </c>
      <c r="G323">
        <v>4</v>
      </c>
      <c r="H323">
        <v>500</v>
      </c>
      <c r="I323">
        <v>2000</v>
      </c>
      <c r="J323" t="s">
        <v>20</v>
      </c>
      <c r="K323" t="s">
        <v>1028</v>
      </c>
      <c r="L323" t="s">
        <v>1038</v>
      </c>
      <c r="M323" t="s">
        <v>1033</v>
      </c>
      <c r="N323">
        <v>7</v>
      </c>
      <c r="O323" t="s">
        <v>1046</v>
      </c>
    </row>
    <row r="324" spans="1:15" x14ac:dyDescent="0.25">
      <c r="A324">
        <v>534</v>
      </c>
      <c r="B324" s="6">
        <v>45087</v>
      </c>
      <c r="C324" s="5" t="s">
        <v>344</v>
      </c>
      <c r="D324" s="5" t="s">
        <v>2</v>
      </c>
      <c r="E324">
        <v>45</v>
      </c>
      <c r="F324" s="5" t="s">
        <v>19</v>
      </c>
      <c r="G324">
        <v>2</v>
      </c>
      <c r="H324">
        <v>500</v>
      </c>
      <c r="I324">
        <v>1000</v>
      </c>
      <c r="J324" t="s">
        <v>20</v>
      </c>
      <c r="K324" t="s">
        <v>1028</v>
      </c>
      <c r="L324" t="s">
        <v>1038</v>
      </c>
      <c r="M324" t="s">
        <v>1041</v>
      </c>
      <c r="N324">
        <v>6</v>
      </c>
      <c r="O324" t="s">
        <v>1050</v>
      </c>
    </row>
    <row r="325" spans="1:15" x14ac:dyDescent="0.25">
      <c r="A325">
        <v>547</v>
      </c>
      <c r="B325" s="6">
        <v>44992</v>
      </c>
      <c r="C325" s="5" t="s">
        <v>345</v>
      </c>
      <c r="D325" s="5" t="s">
        <v>2</v>
      </c>
      <c r="E325">
        <v>63</v>
      </c>
      <c r="F325" s="5" t="s">
        <v>19</v>
      </c>
      <c r="G325">
        <v>4</v>
      </c>
      <c r="H325">
        <v>500</v>
      </c>
      <c r="I325">
        <v>2000</v>
      </c>
      <c r="J325" t="s">
        <v>24</v>
      </c>
      <c r="K325" t="s">
        <v>1030</v>
      </c>
      <c r="L325" t="s">
        <v>1038</v>
      </c>
      <c r="M325" t="s">
        <v>1039</v>
      </c>
      <c r="N325">
        <v>3</v>
      </c>
      <c r="O325" t="s">
        <v>1040</v>
      </c>
    </row>
    <row r="326" spans="1:15" x14ac:dyDescent="0.25">
      <c r="A326">
        <v>561</v>
      </c>
      <c r="B326" s="6">
        <v>45073</v>
      </c>
      <c r="C326" s="5" t="s">
        <v>346</v>
      </c>
      <c r="D326" s="5" t="s">
        <v>1</v>
      </c>
      <c r="E326">
        <v>64</v>
      </c>
      <c r="F326" s="5" t="s">
        <v>19</v>
      </c>
      <c r="G326">
        <v>4</v>
      </c>
      <c r="H326">
        <v>500</v>
      </c>
      <c r="I326">
        <v>2000</v>
      </c>
      <c r="J326" t="s">
        <v>24</v>
      </c>
      <c r="K326" t="s">
        <v>1030</v>
      </c>
      <c r="L326" t="s">
        <v>1038</v>
      </c>
      <c r="M326" t="s">
        <v>1041</v>
      </c>
      <c r="N326">
        <v>5</v>
      </c>
      <c r="O326" t="s">
        <v>1032</v>
      </c>
    </row>
    <row r="327" spans="1:15" x14ac:dyDescent="0.25">
      <c r="A327">
        <v>570</v>
      </c>
      <c r="B327" s="6">
        <v>45153</v>
      </c>
      <c r="C327" s="5" t="s">
        <v>347</v>
      </c>
      <c r="D327" s="5" t="s">
        <v>2</v>
      </c>
      <c r="E327">
        <v>49</v>
      </c>
      <c r="F327" s="5" t="s">
        <v>19</v>
      </c>
      <c r="G327">
        <v>1</v>
      </c>
      <c r="H327">
        <v>500</v>
      </c>
      <c r="I327">
        <v>500</v>
      </c>
      <c r="J327" t="s">
        <v>20</v>
      </c>
      <c r="K327" t="s">
        <v>1028</v>
      </c>
      <c r="L327" t="s">
        <v>1038</v>
      </c>
      <c r="M327" t="s">
        <v>1033</v>
      </c>
      <c r="N327">
        <v>8</v>
      </c>
      <c r="O327" t="s">
        <v>1051</v>
      </c>
    </row>
    <row r="328" spans="1:15" x14ac:dyDescent="0.25">
      <c r="A328">
        <v>572</v>
      </c>
      <c r="B328" s="6">
        <v>45036</v>
      </c>
      <c r="C328" s="5" t="s">
        <v>348</v>
      </c>
      <c r="D328" s="5" t="s">
        <v>2</v>
      </c>
      <c r="E328">
        <v>31</v>
      </c>
      <c r="F328" s="5" t="s">
        <v>19</v>
      </c>
      <c r="G328">
        <v>4</v>
      </c>
      <c r="H328">
        <v>500</v>
      </c>
      <c r="I328">
        <v>2000</v>
      </c>
      <c r="J328" t="s">
        <v>20</v>
      </c>
      <c r="K328" t="s">
        <v>1028</v>
      </c>
      <c r="L328" t="s">
        <v>1038</v>
      </c>
      <c r="M328" t="s">
        <v>1041</v>
      </c>
      <c r="N328">
        <v>4</v>
      </c>
      <c r="O328" t="s">
        <v>1042</v>
      </c>
    </row>
    <row r="329" spans="1:15" x14ac:dyDescent="0.25">
      <c r="A329">
        <v>580</v>
      </c>
      <c r="B329" s="6">
        <v>45266</v>
      </c>
      <c r="C329" s="5" t="s">
        <v>349</v>
      </c>
      <c r="D329" s="5" t="s">
        <v>1</v>
      </c>
      <c r="E329">
        <v>31</v>
      </c>
      <c r="F329" s="5" t="s">
        <v>19</v>
      </c>
      <c r="G329">
        <v>3</v>
      </c>
      <c r="H329">
        <v>500</v>
      </c>
      <c r="I329">
        <v>1500</v>
      </c>
      <c r="J329" t="s">
        <v>20</v>
      </c>
      <c r="K329" t="s">
        <v>1028</v>
      </c>
      <c r="L329" t="s">
        <v>1038</v>
      </c>
      <c r="M329" t="s">
        <v>1047</v>
      </c>
      <c r="N329">
        <v>12</v>
      </c>
      <c r="O329" t="s">
        <v>1052</v>
      </c>
    </row>
    <row r="330" spans="1:15" x14ac:dyDescent="0.25">
      <c r="A330">
        <v>595</v>
      </c>
      <c r="B330" s="6">
        <v>45239</v>
      </c>
      <c r="C330" s="5" t="s">
        <v>350</v>
      </c>
      <c r="D330" s="5" t="s">
        <v>1</v>
      </c>
      <c r="E330">
        <v>18</v>
      </c>
      <c r="F330" s="5" t="s">
        <v>19</v>
      </c>
      <c r="G330">
        <v>4</v>
      </c>
      <c r="H330">
        <v>500</v>
      </c>
      <c r="I330">
        <v>2000</v>
      </c>
      <c r="J330" t="s">
        <v>22</v>
      </c>
      <c r="K330" t="s">
        <v>1029</v>
      </c>
      <c r="L330" t="s">
        <v>1038</v>
      </c>
      <c r="M330" t="s">
        <v>1047</v>
      </c>
      <c r="N330">
        <v>11</v>
      </c>
      <c r="O330" t="s">
        <v>1048</v>
      </c>
    </row>
    <row r="331" spans="1:15" x14ac:dyDescent="0.25">
      <c r="A331">
        <v>626</v>
      </c>
      <c r="B331" s="6">
        <v>45198</v>
      </c>
      <c r="C331" s="5" t="s">
        <v>351</v>
      </c>
      <c r="D331" s="5" t="s">
        <v>1</v>
      </c>
      <c r="E331">
        <v>26</v>
      </c>
      <c r="F331" s="5" t="s">
        <v>19</v>
      </c>
      <c r="G331">
        <v>4</v>
      </c>
      <c r="H331">
        <v>500</v>
      </c>
      <c r="I331">
        <v>2000</v>
      </c>
      <c r="J331" t="s">
        <v>22</v>
      </c>
      <c r="K331" t="s">
        <v>1029</v>
      </c>
      <c r="L331" t="s">
        <v>1038</v>
      </c>
      <c r="M331" t="s">
        <v>1033</v>
      </c>
      <c r="N331">
        <v>9</v>
      </c>
      <c r="O331" t="s">
        <v>1043</v>
      </c>
    </row>
    <row r="332" spans="1:15" x14ac:dyDescent="0.25">
      <c r="A332">
        <v>647</v>
      </c>
      <c r="B332" s="6">
        <v>45067</v>
      </c>
      <c r="C332" s="5" t="s">
        <v>352</v>
      </c>
      <c r="D332" s="5" t="s">
        <v>2</v>
      </c>
      <c r="E332">
        <v>59</v>
      </c>
      <c r="F332" s="5" t="s">
        <v>19</v>
      </c>
      <c r="G332">
        <v>3</v>
      </c>
      <c r="H332">
        <v>500</v>
      </c>
      <c r="I332">
        <v>1500</v>
      </c>
      <c r="J332" t="s">
        <v>24</v>
      </c>
      <c r="K332" t="s">
        <v>1030</v>
      </c>
      <c r="L332" t="s">
        <v>1038</v>
      </c>
      <c r="M332" t="s">
        <v>1041</v>
      </c>
      <c r="N332">
        <v>5</v>
      </c>
      <c r="O332" t="s">
        <v>1032</v>
      </c>
    </row>
    <row r="333" spans="1:15" x14ac:dyDescent="0.25">
      <c r="A333">
        <v>655</v>
      </c>
      <c r="B333" s="6">
        <v>45090</v>
      </c>
      <c r="C333" s="5" t="s">
        <v>353</v>
      </c>
      <c r="D333" s="5" t="s">
        <v>1</v>
      </c>
      <c r="E333">
        <v>55</v>
      </c>
      <c r="F333" s="5" t="s">
        <v>19</v>
      </c>
      <c r="G333">
        <v>1</v>
      </c>
      <c r="H333">
        <v>500</v>
      </c>
      <c r="I333">
        <v>500</v>
      </c>
      <c r="J333" t="s">
        <v>20</v>
      </c>
      <c r="K333" t="s">
        <v>1028</v>
      </c>
      <c r="L333" t="s">
        <v>1038</v>
      </c>
      <c r="M333" t="s">
        <v>1041</v>
      </c>
      <c r="N333">
        <v>6</v>
      </c>
      <c r="O333" t="s">
        <v>1050</v>
      </c>
    </row>
    <row r="334" spans="1:15" x14ac:dyDescent="0.25">
      <c r="A334">
        <v>664</v>
      </c>
      <c r="B334" s="6">
        <v>45288</v>
      </c>
      <c r="C334" s="5" t="s">
        <v>354</v>
      </c>
      <c r="D334" s="5" t="s">
        <v>1</v>
      </c>
      <c r="E334">
        <v>44</v>
      </c>
      <c r="F334" s="5" t="s">
        <v>19</v>
      </c>
      <c r="G334">
        <v>4</v>
      </c>
      <c r="H334">
        <v>500</v>
      </c>
      <c r="I334">
        <v>2000</v>
      </c>
      <c r="J334" t="s">
        <v>20</v>
      </c>
      <c r="K334" t="s">
        <v>1028</v>
      </c>
      <c r="L334" t="s">
        <v>1038</v>
      </c>
      <c r="M334" t="s">
        <v>1047</v>
      </c>
      <c r="N334">
        <v>12</v>
      </c>
      <c r="O334" t="s">
        <v>1052</v>
      </c>
    </row>
    <row r="335" spans="1:15" x14ac:dyDescent="0.25">
      <c r="A335">
        <v>673</v>
      </c>
      <c r="B335" s="6">
        <v>44958</v>
      </c>
      <c r="C335" s="5" t="s">
        <v>355</v>
      </c>
      <c r="D335" s="5" t="s">
        <v>1</v>
      </c>
      <c r="E335">
        <v>43</v>
      </c>
      <c r="F335" s="5" t="s">
        <v>19</v>
      </c>
      <c r="G335">
        <v>3</v>
      </c>
      <c r="H335">
        <v>500</v>
      </c>
      <c r="I335">
        <v>1500</v>
      </c>
      <c r="J335" t="s">
        <v>20</v>
      </c>
      <c r="K335" t="s">
        <v>1028</v>
      </c>
      <c r="L335" t="s">
        <v>1038</v>
      </c>
      <c r="M335" t="s">
        <v>1039</v>
      </c>
      <c r="N335">
        <v>2</v>
      </c>
      <c r="O335" t="s">
        <v>1044</v>
      </c>
    </row>
    <row r="336" spans="1:15" x14ac:dyDescent="0.25">
      <c r="A336">
        <v>684</v>
      </c>
      <c r="B336" s="6">
        <v>45107</v>
      </c>
      <c r="C336" s="5" t="s">
        <v>356</v>
      </c>
      <c r="D336" s="5" t="s">
        <v>1</v>
      </c>
      <c r="E336">
        <v>28</v>
      </c>
      <c r="F336" s="5" t="s">
        <v>19</v>
      </c>
      <c r="G336">
        <v>2</v>
      </c>
      <c r="H336">
        <v>500</v>
      </c>
      <c r="I336">
        <v>1000</v>
      </c>
      <c r="J336" t="s">
        <v>22</v>
      </c>
      <c r="K336" t="s">
        <v>1029</v>
      </c>
      <c r="L336" t="s">
        <v>1038</v>
      </c>
      <c r="M336" t="s">
        <v>1041</v>
      </c>
      <c r="N336">
        <v>6</v>
      </c>
      <c r="O336" t="s">
        <v>1050</v>
      </c>
    </row>
    <row r="337" spans="1:15" x14ac:dyDescent="0.25">
      <c r="A337">
        <v>697</v>
      </c>
      <c r="B337" s="6">
        <v>44941</v>
      </c>
      <c r="C337" s="5" t="s">
        <v>357</v>
      </c>
      <c r="D337" s="5" t="s">
        <v>2</v>
      </c>
      <c r="E337">
        <v>53</v>
      </c>
      <c r="F337" s="5" t="s">
        <v>19</v>
      </c>
      <c r="G337">
        <v>1</v>
      </c>
      <c r="H337">
        <v>500</v>
      </c>
      <c r="I337">
        <v>500</v>
      </c>
      <c r="J337" t="s">
        <v>20</v>
      </c>
      <c r="K337" t="s">
        <v>1028</v>
      </c>
      <c r="L337" t="s">
        <v>1038</v>
      </c>
      <c r="M337" t="s">
        <v>1039</v>
      </c>
      <c r="N337">
        <v>1</v>
      </c>
      <c r="O337" t="s">
        <v>1045</v>
      </c>
    </row>
    <row r="338" spans="1:15" x14ac:dyDescent="0.25">
      <c r="A338">
        <v>707</v>
      </c>
      <c r="B338" s="6">
        <v>45200</v>
      </c>
      <c r="C338" s="5" t="s">
        <v>358</v>
      </c>
      <c r="D338" s="5" t="s">
        <v>1</v>
      </c>
      <c r="E338">
        <v>26</v>
      </c>
      <c r="F338" s="5" t="s">
        <v>19</v>
      </c>
      <c r="G338">
        <v>1</v>
      </c>
      <c r="H338">
        <v>500</v>
      </c>
      <c r="I338">
        <v>500</v>
      </c>
      <c r="J338" t="s">
        <v>22</v>
      </c>
      <c r="K338" t="s">
        <v>1029</v>
      </c>
      <c r="L338" t="s">
        <v>1038</v>
      </c>
      <c r="M338" t="s">
        <v>1047</v>
      </c>
      <c r="N338">
        <v>10</v>
      </c>
      <c r="O338" t="s">
        <v>1049</v>
      </c>
    </row>
    <row r="339" spans="1:15" x14ac:dyDescent="0.25">
      <c r="A339">
        <v>714</v>
      </c>
      <c r="B339" s="6">
        <v>44969</v>
      </c>
      <c r="C339" s="5" t="s">
        <v>359</v>
      </c>
      <c r="D339" s="5" t="s">
        <v>1</v>
      </c>
      <c r="E339">
        <v>18</v>
      </c>
      <c r="F339" s="5" t="s">
        <v>19</v>
      </c>
      <c r="G339">
        <v>1</v>
      </c>
      <c r="H339">
        <v>500</v>
      </c>
      <c r="I339">
        <v>500</v>
      </c>
      <c r="J339" t="s">
        <v>22</v>
      </c>
      <c r="K339" t="s">
        <v>1029</v>
      </c>
      <c r="L339" t="s">
        <v>1038</v>
      </c>
      <c r="M339" t="s">
        <v>1039</v>
      </c>
      <c r="N339">
        <v>2</v>
      </c>
      <c r="O339" t="s">
        <v>1044</v>
      </c>
    </row>
    <row r="340" spans="1:15" x14ac:dyDescent="0.25">
      <c r="A340">
        <v>717</v>
      </c>
      <c r="B340" s="6">
        <v>44996</v>
      </c>
      <c r="C340" s="5" t="s">
        <v>360</v>
      </c>
      <c r="D340" s="5" t="s">
        <v>2</v>
      </c>
      <c r="E340">
        <v>57</v>
      </c>
      <c r="F340" s="5" t="s">
        <v>19</v>
      </c>
      <c r="G340">
        <v>1</v>
      </c>
      <c r="H340">
        <v>500</v>
      </c>
      <c r="I340">
        <v>500</v>
      </c>
      <c r="J340" t="s">
        <v>24</v>
      </c>
      <c r="K340" t="s">
        <v>1030</v>
      </c>
      <c r="L340" t="s">
        <v>1038</v>
      </c>
      <c r="M340" t="s">
        <v>1039</v>
      </c>
      <c r="N340">
        <v>3</v>
      </c>
      <c r="O340" t="s">
        <v>1040</v>
      </c>
    </row>
    <row r="341" spans="1:15" x14ac:dyDescent="0.25">
      <c r="A341">
        <v>721</v>
      </c>
      <c r="B341" s="6">
        <v>45060</v>
      </c>
      <c r="C341" s="5" t="s">
        <v>361</v>
      </c>
      <c r="D341" s="5" t="s">
        <v>1</v>
      </c>
      <c r="E341">
        <v>52</v>
      </c>
      <c r="F341" s="5" t="s">
        <v>19</v>
      </c>
      <c r="G341">
        <v>1</v>
      </c>
      <c r="H341">
        <v>500</v>
      </c>
      <c r="I341">
        <v>500</v>
      </c>
      <c r="J341" t="s">
        <v>20</v>
      </c>
      <c r="K341" t="s">
        <v>1028</v>
      </c>
      <c r="L341" t="s">
        <v>1038</v>
      </c>
      <c r="M341" t="s">
        <v>1041</v>
      </c>
      <c r="N341">
        <v>5</v>
      </c>
      <c r="O341" t="s">
        <v>1032</v>
      </c>
    </row>
    <row r="342" spans="1:15" x14ac:dyDescent="0.25">
      <c r="A342">
        <v>731</v>
      </c>
      <c r="B342" s="6">
        <v>45056</v>
      </c>
      <c r="C342" s="5" t="s">
        <v>362</v>
      </c>
      <c r="D342" s="5" t="s">
        <v>2</v>
      </c>
      <c r="E342">
        <v>54</v>
      </c>
      <c r="F342" s="5" t="s">
        <v>19</v>
      </c>
      <c r="G342">
        <v>4</v>
      </c>
      <c r="H342">
        <v>500</v>
      </c>
      <c r="I342">
        <v>2000</v>
      </c>
      <c r="J342" t="s">
        <v>20</v>
      </c>
      <c r="K342" t="s">
        <v>1028</v>
      </c>
      <c r="L342" t="s">
        <v>1038</v>
      </c>
      <c r="M342" t="s">
        <v>1041</v>
      </c>
      <c r="N342">
        <v>5</v>
      </c>
      <c r="O342" t="s">
        <v>1032</v>
      </c>
    </row>
    <row r="343" spans="1:15" x14ac:dyDescent="0.25">
      <c r="A343">
        <v>735</v>
      </c>
      <c r="B343" s="6">
        <v>45203</v>
      </c>
      <c r="C343" s="5" t="s">
        <v>363</v>
      </c>
      <c r="D343" s="5" t="s">
        <v>1</v>
      </c>
      <c r="E343">
        <v>64</v>
      </c>
      <c r="F343" s="5" t="s">
        <v>19</v>
      </c>
      <c r="G343">
        <v>4</v>
      </c>
      <c r="H343">
        <v>500</v>
      </c>
      <c r="I343">
        <v>2000</v>
      </c>
      <c r="J343" t="s">
        <v>24</v>
      </c>
      <c r="K343" t="s">
        <v>1030</v>
      </c>
      <c r="L343" t="s">
        <v>1038</v>
      </c>
      <c r="M343" t="s">
        <v>1047</v>
      </c>
      <c r="N343">
        <v>10</v>
      </c>
      <c r="O343" t="s">
        <v>1049</v>
      </c>
    </row>
    <row r="344" spans="1:15" x14ac:dyDescent="0.25">
      <c r="A344">
        <v>761</v>
      </c>
      <c r="B344" s="6">
        <v>45237</v>
      </c>
      <c r="C344" s="5" t="s">
        <v>364</v>
      </c>
      <c r="D344" s="5" t="s">
        <v>1</v>
      </c>
      <c r="E344">
        <v>33</v>
      </c>
      <c r="F344" s="5" t="s">
        <v>19</v>
      </c>
      <c r="G344">
        <v>1</v>
      </c>
      <c r="H344">
        <v>500</v>
      </c>
      <c r="I344">
        <v>500</v>
      </c>
      <c r="J344" t="s">
        <v>20</v>
      </c>
      <c r="K344" t="s">
        <v>1028</v>
      </c>
      <c r="L344" t="s">
        <v>1038</v>
      </c>
      <c r="M344" t="s">
        <v>1047</v>
      </c>
      <c r="N344">
        <v>11</v>
      </c>
      <c r="O344" t="s">
        <v>1048</v>
      </c>
    </row>
    <row r="345" spans="1:15" x14ac:dyDescent="0.25">
      <c r="A345">
        <v>789</v>
      </c>
      <c r="B345" s="6">
        <v>45199</v>
      </c>
      <c r="C345" s="5" t="s">
        <v>365</v>
      </c>
      <c r="D345" s="5" t="s">
        <v>1</v>
      </c>
      <c r="E345">
        <v>61</v>
      </c>
      <c r="F345" s="5" t="s">
        <v>19</v>
      </c>
      <c r="G345">
        <v>4</v>
      </c>
      <c r="H345">
        <v>500</v>
      </c>
      <c r="I345">
        <v>2000</v>
      </c>
      <c r="J345" t="s">
        <v>24</v>
      </c>
      <c r="K345" t="s">
        <v>1030</v>
      </c>
      <c r="L345" t="s">
        <v>1038</v>
      </c>
      <c r="M345" t="s">
        <v>1033</v>
      </c>
      <c r="N345">
        <v>9</v>
      </c>
      <c r="O345" t="s">
        <v>1043</v>
      </c>
    </row>
    <row r="346" spans="1:15" x14ac:dyDescent="0.25">
      <c r="A346">
        <v>814</v>
      </c>
      <c r="B346" s="6">
        <v>45174</v>
      </c>
      <c r="C346" s="5" t="s">
        <v>366</v>
      </c>
      <c r="D346" s="5" t="s">
        <v>1</v>
      </c>
      <c r="E346">
        <v>59</v>
      </c>
      <c r="F346" s="5" t="s">
        <v>19</v>
      </c>
      <c r="G346">
        <v>1</v>
      </c>
      <c r="H346">
        <v>500</v>
      </c>
      <c r="I346">
        <v>500</v>
      </c>
      <c r="J346" t="s">
        <v>24</v>
      </c>
      <c r="K346" t="s">
        <v>1030</v>
      </c>
      <c r="L346" t="s">
        <v>1038</v>
      </c>
      <c r="M346" t="s">
        <v>1033</v>
      </c>
      <c r="N346">
        <v>9</v>
      </c>
      <c r="O346" t="s">
        <v>1043</v>
      </c>
    </row>
    <row r="347" spans="1:15" x14ac:dyDescent="0.25">
      <c r="A347">
        <v>845</v>
      </c>
      <c r="B347" s="6">
        <v>44932</v>
      </c>
      <c r="C347" s="5" t="s">
        <v>367</v>
      </c>
      <c r="D347" s="5" t="s">
        <v>2</v>
      </c>
      <c r="E347">
        <v>54</v>
      </c>
      <c r="F347" s="5" t="s">
        <v>19</v>
      </c>
      <c r="G347">
        <v>1</v>
      </c>
      <c r="H347">
        <v>500</v>
      </c>
      <c r="I347">
        <v>500</v>
      </c>
      <c r="J347" t="s">
        <v>20</v>
      </c>
      <c r="K347" t="s">
        <v>1028</v>
      </c>
      <c r="L347" t="s">
        <v>1038</v>
      </c>
      <c r="M347" t="s">
        <v>1039</v>
      </c>
      <c r="N347">
        <v>1</v>
      </c>
      <c r="O347" t="s">
        <v>1045</v>
      </c>
    </row>
    <row r="348" spans="1:15" x14ac:dyDescent="0.25">
      <c r="A348">
        <v>904</v>
      </c>
      <c r="B348" s="6">
        <v>45111</v>
      </c>
      <c r="C348" s="5" t="s">
        <v>368</v>
      </c>
      <c r="D348" s="5" t="s">
        <v>2</v>
      </c>
      <c r="E348">
        <v>28</v>
      </c>
      <c r="F348" s="5" t="s">
        <v>19</v>
      </c>
      <c r="G348">
        <v>1</v>
      </c>
      <c r="H348">
        <v>500</v>
      </c>
      <c r="I348">
        <v>500</v>
      </c>
      <c r="J348" t="s">
        <v>22</v>
      </c>
      <c r="K348" t="s">
        <v>1029</v>
      </c>
      <c r="L348" t="s">
        <v>1038</v>
      </c>
      <c r="M348" t="s">
        <v>1033</v>
      </c>
      <c r="N348">
        <v>7</v>
      </c>
      <c r="O348" t="s">
        <v>1046</v>
      </c>
    </row>
    <row r="349" spans="1:15" x14ac:dyDescent="0.25">
      <c r="A349">
        <v>942</v>
      </c>
      <c r="B349" s="6">
        <v>45003</v>
      </c>
      <c r="C349" s="5" t="s">
        <v>369</v>
      </c>
      <c r="D349" s="5" t="s">
        <v>2</v>
      </c>
      <c r="E349">
        <v>51</v>
      </c>
      <c r="F349" s="5" t="s">
        <v>19</v>
      </c>
      <c r="G349">
        <v>3</v>
      </c>
      <c r="H349">
        <v>500</v>
      </c>
      <c r="I349">
        <v>1500</v>
      </c>
      <c r="J349" t="s">
        <v>20</v>
      </c>
      <c r="K349" t="s">
        <v>1028</v>
      </c>
      <c r="L349" t="s">
        <v>1038</v>
      </c>
      <c r="M349" t="s">
        <v>1039</v>
      </c>
      <c r="N349">
        <v>3</v>
      </c>
      <c r="O349" t="s">
        <v>1040</v>
      </c>
    </row>
    <row r="350" spans="1:15" x14ac:dyDescent="0.25">
      <c r="A350">
        <v>956</v>
      </c>
      <c r="B350" s="6">
        <v>45157</v>
      </c>
      <c r="C350" s="5" t="s">
        <v>370</v>
      </c>
      <c r="D350" s="5" t="s">
        <v>2</v>
      </c>
      <c r="E350">
        <v>30</v>
      </c>
      <c r="F350" s="5" t="s">
        <v>19</v>
      </c>
      <c r="G350">
        <v>3</v>
      </c>
      <c r="H350">
        <v>500</v>
      </c>
      <c r="I350">
        <v>1500</v>
      </c>
      <c r="J350" t="s">
        <v>20</v>
      </c>
      <c r="K350" t="s">
        <v>1028</v>
      </c>
      <c r="L350" t="s">
        <v>1038</v>
      </c>
      <c r="M350" t="s">
        <v>1033</v>
      </c>
      <c r="N350">
        <v>8</v>
      </c>
      <c r="O350" t="s">
        <v>1051</v>
      </c>
    </row>
    <row r="351" spans="1:15" x14ac:dyDescent="0.25">
      <c r="A351">
        <v>984</v>
      </c>
      <c r="B351" s="6">
        <v>45167</v>
      </c>
      <c r="C351" s="5" t="s">
        <v>371</v>
      </c>
      <c r="D351" s="5" t="s">
        <v>2</v>
      </c>
      <c r="E351">
        <v>56</v>
      </c>
      <c r="F351" s="5" t="s">
        <v>19</v>
      </c>
      <c r="G351">
        <v>1</v>
      </c>
      <c r="H351">
        <v>500</v>
      </c>
      <c r="I351">
        <v>500</v>
      </c>
      <c r="J351" t="s">
        <v>24</v>
      </c>
      <c r="K351" t="s">
        <v>1030</v>
      </c>
      <c r="L351" t="s">
        <v>1038</v>
      </c>
      <c r="M351" t="s">
        <v>1033</v>
      </c>
      <c r="N351">
        <v>8</v>
      </c>
      <c r="O351" t="s">
        <v>1051</v>
      </c>
    </row>
    <row r="352" spans="1:15" x14ac:dyDescent="0.25">
      <c r="A352">
        <v>986</v>
      </c>
      <c r="B352" s="6">
        <v>44943</v>
      </c>
      <c r="C352" s="5" t="s">
        <v>372</v>
      </c>
      <c r="D352" s="5" t="s">
        <v>1</v>
      </c>
      <c r="E352">
        <v>49</v>
      </c>
      <c r="F352" s="5" t="s">
        <v>19</v>
      </c>
      <c r="G352">
        <v>2</v>
      </c>
      <c r="H352">
        <v>500</v>
      </c>
      <c r="I352">
        <v>1000</v>
      </c>
      <c r="J352" t="s">
        <v>20</v>
      </c>
      <c r="K352" t="s">
        <v>1028</v>
      </c>
      <c r="L352" t="s">
        <v>1038</v>
      </c>
      <c r="M352" t="s">
        <v>1039</v>
      </c>
      <c r="N352">
        <v>1</v>
      </c>
      <c r="O352" t="s">
        <v>1045</v>
      </c>
    </row>
    <row r="353" spans="1:15" x14ac:dyDescent="0.25">
      <c r="A353">
        <v>3</v>
      </c>
      <c r="B353" s="6">
        <v>44939</v>
      </c>
      <c r="C353" s="5" t="s">
        <v>373</v>
      </c>
      <c r="D353" s="5" t="s">
        <v>2</v>
      </c>
      <c r="E353">
        <v>50</v>
      </c>
      <c r="F353" s="5" t="s">
        <v>374</v>
      </c>
      <c r="G353">
        <v>1</v>
      </c>
      <c r="H353">
        <v>30</v>
      </c>
      <c r="I353">
        <v>30</v>
      </c>
      <c r="J353" t="s">
        <v>20</v>
      </c>
      <c r="K353" t="s">
        <v>1028</v>
      </c>
      <c r="L353" t="s">
        <v>1038</v>
      </c>
      <c r="M353" t="s">
        <v>1039</v>
      </c>
      <c r="N353">
        <v>1</v>
      </c>
      <c r="O353" t="s">
        <v>1045</v>
      </c>
    </row>
    <row r="354" spans="1:15" x14ac:dyDescent="0.25">
      <c r="A354">
        <v>8</v>
      </c>
      <c r="B354" s="6">
        <v>44979</v>
      </c>
      <c r="C354" s="5" t="s">
        <v>375</v>
      </c>
      <c r="D354" s="5" t="s">
        <v>2</v>
      </c>
      <c r="E354">
        <v>30</v>
      </c>
      <c r="F354" s="5" t="s">
        <v>374</v>
      </c>
      <c r="G354">
        <v>4</v>
      </c>
      <c r="H354">
        <v>25</v>
      </c>
      <c r="I354">
        <v>100</v>
      </c>
      <c r="J354" t="s">
        <v>20</v>
      </c>
      <c r="K354" t="s">
        <v>1028</v>
      </c>
      <c r="L354" t="s">
        <v>1038</v>
      </c>
      <c r="M354" t="s">
        <v>1039</v>
      </c>
      <c r="N354">
        <v>2</v>
      </c>
      <c r="O354" t="s">
        <v>1044</v>
      </c>
    </row>
    <row r="355" spans="1:15" x14ac:dyDescent="0.25">
      <c r="A355">
        <v>9</v>
      </c>
      <c r="B355" s="6">
        <v>45273</v>
      </c>
      <c r="C355" s="5" t="s">
        <v>376</v>
      </c>
      <c r="D355" s="5" t="s">
        <v>2</v>
      </c>
      <c r="E355">
        <v>63</v>
      </c>
      <c r="F355" s="5" t="s">
        <v>374</v>
      </c>
      <c r="G355">
        <v>2</v>
      </c>
      <c r="H355">
        <v>300</v>
      </c>
      <c r="I355">
        <v>600</v>
      </c>
      <c r="J355" t="s">
        <v>24</v>
      </c>
      <c r="K355" t="s">
        <v>1030</v>
      </c>
      <c r="L355" t="s">
        <v>1038</v>
      </c>
      <c r="M355" t="s">
        <v>1047</v>
      </c>
      <c r="N355">
        <v>12</v>
      </c>
      <c r="O355" t="s">
        <v>1052</v>
      </c>
    </row>
    <row r="356" spans="1:15" x14ac:dyDescent="0.25">
      <c r="A356">
        <v>13</v>
      </c>
      <c r="B356" s="6">
        <v>45143</v>
      </c>
      <c r="C356" s="5" t="s">
        <v>377</v>
      </c>
      <c r="D356" s="5" t="s">
        <v>2</v>
      </c>
      <c r="E356">
        <v>22</v>
      </c>
      <c r="F356" s="5" t="s">
        <v>374</v>
      </c>
      <c r="G356">
        <v>3</v>
      </c>
      <c r="H356">
        <v>500</v>
      </c>
      <c r="I356">
        <v>1500</v>
      </c>
      <c r="J356" t="s">
        <v>22</v>
      </c>
      <c r="K356" t="s">
        <v>1029</v>
      </c>
      <c r="L356" t="s">
        <v>1038</v>
      </c>
      <c r="M356" t="s">
        <v>1033</v>
      </c>
      <c r="N356">
        <v>8</v>
      </c>
      <c r="O356" t="s">
        <v>1051</v>
      </c>
    </row>
    <row r="357" spans="1:15" x14ac:dyDescent="0.25">
      <c r="A357">
        <v>15</v>
      </c>
      <c r="B357" s="6">
        <v>44942</v>
      </c>
      <c r="C357" s="5" t="s">
        <v>378</v>
      </c>
      <c r="D357" s="5" t="s">
        <v>1</v>
      </c>
      <c r="E357">
        <v>42</v>
      </c>
      <c r="F357" s="5" t="s">
        <v>374</v>
      </c>
      <c r="G357">
        <v>4</v>
      </c>
      <c r="H357">
        <v>500</v>
      </c>
      <c r="I357">
        <v>2000</v>
      </c>
      <c r="J357" t="s">
        <v>20</v>
      </c>
      <c r="K357" t="s">
        <v>1028</v>
      </c>
      <c r="L357" t="s">
        <v>1038</v>
      </c>
      <c r="M357" t="s">
        <v>1039</v>
      </c>
      <c r="N357">
        <v>1</v>
      </c>
      <c r="O357" t="s">
        <v>1045</v>
      </c>
    </row>
    <row r="358" spans="1:15" x14ac:dyDescent="0.25">
      <c r="A358">
        <v>18</v>
      </c>
      <c r="B358" s="6">
        <v>45046</v>
      </c>
      <c r="C358" s="5" t="s">
        <v>379</v>
      </c>
      <c r="D358" s="5" t="s">
        <v>1</v>
      </c>
      <c r="E358">
        <v>47</v>
      </c>
      <c r="F358" s="5" t="s">
        <v>374</v>
      </c>
      <c r="G358">
        <v>2</v>
      </c>
      <c r="H358">
        <v>25</v>
      </c>
      <c r="I358">
        <v>50</v>
      </c>
      <c r="J358" t="s">
        <v>20</v>
      </c>
      <c r="K358" t="s">
        <v>1028</v>
      </c>
      <c r="L358" t="s">
        <v>1038</v>
      </c>
      <c r="M358" t="s">
        <v>1041</v>
      </c>
      <c r="N358">
        <v>4</v>
      </c>
      <c r="O358" t="s">
        <v>1042</v>
      </c>
    </row>
    <row r="359" spans="1:15" x14ac:dyDescent="0.25">
      <c r="A359">
        <v>26</v>
      </c>
      <c r="B359" s="6">
        <v>45206</v>
      </c>
      <c r="C359" s="5" t="s">
        <v>380</v>
      </c>
      <c r="D359" s="5" t="s">
        <v>1</v>
      </c>
      <c r="E359">
        <v>28</v>
      </c>
      <c r="F359" s="5" t="s">
        <v>374</v>
      </c>
      <c r="G359">
        <v>2</v>
      </c>
      <c r="H359">
        <v>500</v>
      </c>
      <c r="I359">
        <v>1000</v>
      </c>
      <c r="J359" t="s">
        <v>22</v>
      </c>
      <c r="K359" t="s">
        <v>1029</v>
      </c>
      <c r="L359" t="s">
        <v>1038</v>
      </c>
      <c r="M359" t="s">
        <v>1047</v>
      </c>
      <c r="N359">
        <v>10</v>
      </c>
      <c r="O359" t="s">
        <v>1049</v>
      </c>
    </row>
    <row r="360" spans="1:15" x14ac:dyDescent="0.25">
      <c r="A360">
        <v>29</v>
      </c>
      <c r="B360" s="6">
        <v>45156</v>
      </c>
      <c r="C360" s="5" t="s">
        <v>381</v>
      </c>
      <c r="D360" s="5" t="s">
        <v>1</v>
      </c>
      <c r="E360">
        <v>42</v>
      </c>
      <c r="F360" s="5" t="s">
        <v>374</v>
      </c>
      <c r="G360">
        <v>1</v>
      </c>
      <c r="H360">
        <v>30</v>
      </c>
      <c r="I360">
        <v>30</v>
      </c>
      <c r="J360" t="s">
        <v>20</v>
      </c>
      <c r="K360" t="s">
        <v>1028</v>
      </c>
      <c r="L360" t="s">
        <v>1038</v>
      </c>
      <c r="M360" t="s">
        <v>1033</v>
      </c>
      <c r="N360">
        <v>8</v>
      </c>
      <c r="O360" t="s">
        <v>1051</v>
      </c>
    </row>
    <row r="361" spans="1:15" x14ac:dyDescent="0.25">
      <c r="A361">
        <v>31</v>
      </c>
      <c r="B361" s="6">
        <v>45069</v>
      </c>
      <c r="C361" s="5" t="s">
        <v>382</v>
      </c>
      <c r="D361" s="5" t="s">
        <v>2</v>
      </c>
      <c r="E361">
        <v>44</v>
      </c>
      <c r="F361" s="5" t="s">
        <v>374</v>
      </c>
      <c r="G361">
        <v>4</v>
      </c>
      <c r="H361">
        <v>300</v>
      </c>
      <c r="I361">
        <v>1200</v>
      </c>
      <c r="J361" t="s">
        <v>20</v>
      </c>
      <c r="K361" t="s">
        <v>1028</v>
      </c>
      <c r="L361" t="s">
        <v>1038</v>
      </c>
      <c r="M361" t="s">
        <v>1041</v>
      </c>
      <c r="N361">
        <v>5</v>
      </c>
      <c r="O361" t="s">
        <v>1032</v>
      </c>
    </row>
    <row r="362" spans="1:15" x14ac:dyDescent="0.25">
      <c r="A362">
        <v>33</v>
      </c>
      <c r="B362" s="6">
        <v>45008</v>
      </c>
      <c r="C362" s="5" t="s">
        <v>383</v>
      </c>
      <c r="D362" s="5" t="s">
        <v>1</v>
      </c>
      <c r="E362">
        <v>50</v>
      </c>
      <c r="F362" s="5" t="s">
        <v>374</v>
      </c>
      <c r="G362">
        <v>2</v>
      </c>
      <c r="H362">
        <v>50</v>
      </c>
      <c r="I362">
        <v>100</v>
      </c>
      <c r="J362" t="s">
        <v>20</v>
      </c>
      <c r="K362" t="s">
        <v>1028</v>
      </c>
      <c r="L362" t="s">
        <v>1038</v>
      </c>
      <c r="M362" t="s">
        <v>1039</v>
      </c>
      <c r="N362">
        <v>3</v>
      </c>
      <c r="O362" t="s">
        <v>1040</v>
      </c>
    </row>
    <row r="363" spans="1:15" x14ac:dyDescent="0.25">
      <c r="A363">
        <v>45</v>
      </c>
      <c r="B363" s="6">
        <v>45110</v>
      </c>
      <c r="C363" s="5" t="s">
        <v>384</v>
      </c>
      <c r="D363" s="5" t="s">
        <v>1</v>
      </c>
      <c r="E363">
        <v>55</v>
      </c>
      <c r="F363" s="5" t="s">
        <v>374</v>
      </c>
      <c r="G363">
        <v>1</v>
      </c>
      <c r="H363">
        <v>30</v>
      </c>
      <c r="I363">
        <v>30</v>
      </c>
      <c r="J363" t="s">
        <v>20</v>
      </c>
      <c r="K363" t="s">
        <v>1028</v>
      </c>
      <c r="L363" t="s">
        <v>1038</v>
      </c>
      <c r="M363" t="s">
        <v>1033</v>
      </c>
      <c r="N363">
        <v>7</v>
      </c>
      <c r="O363" t="s">
        <v>1046</v>
      </c>
    </row>
    <row r="364" spans="1:15" x14ac:dyDescent="0.25">
      <c r="A364">
        <v>46</v>
      </c>
      <c r="B364" s="6">
        <v>45103</v>
      </c>
      <c r="C364" s="5" t="s">
        <v>385</v>
      </c>
      <c r="D364" s="5" t="s">
        <v>1</v>
      </c>
      <c r="E364">
        <v>20</v>
      </c>
      <c r="F364" s="5" t="s">
        <v>374</v>
      </c>
      <c r="G364">
        <v>4</v>
      </c>
      <c r="H364">
        <v>300</v>
      </c>
      <c r="I364">
        <v>1200</v>
      </c>
      <c r="J364" t="s">
        <v>22</v>
      </c>
      <c r="K364" t="s">
        <v>1029</v>
      </c>
      <c r="L364" t="s">
        <v>1038</v>
      </c>
      <c r="M364" t="s">
        <v>1041</v>
      </c>
      <c r="N364">
        <v>6</v>
      </c>
      <c r="O364" t="s">
        <v>1050</v>
      </c>
    </row>
    <row r="365" spans="1:15" x14ac:dyDescent="0.25">
      <c r="A365">
        <v>48</v>
      </c>
      <c r="B365" s="6">
        <v>45062</v>
      </c>
      <c r="C365" s="5" t="s">
        <v>386</v>
      </c>
      <c r="D365" s="5" t="s">
        <v>2</v>
      </c>
      <c r="E365">
        <v>54</v>
      </c>
      <c r="F365" s="5" t="s">
        <v>374</v>
      </c>
      <c r="G365">
        <v>3</v>
      </c>
      <c r="H365">
        <v>300</v>
      </c>
      <c r="I365">
        <v>900</v>
      </c>
      <c r="J365" t="s">
        <v>20</v>
      </c>
      <c r="K365" t="s">
        <v>1028</v>
      </c>
      <c r="L365" t="s">
        <v>1038</v>
      </c>
      <c r="M365" t="s">
        <v>1041</v>
      </c>
      <c r="N365">
        <v>5</v>
      </c>
      <c r="O365" t="s">
        <v>1032</v>
      </c>
    </row>
    <row r="366" spans="1:15" x14ac:dyDescent="0.25">
      <c r="A366">
        <v>49</v>
      </c>
      <c r="B366" s="6">
        <v>44949</v>
      </c>
      <c r="C366" s="5" t="s">
        <v>387</v>
      </c>
      <c r="D366" s="5" t="s">
        <v>1</v>
      </c>
      <c r="E366">
        <v>54</v>
      </c>
      <c r="F366" s="5" t="s">
        <v>374</v>
      </c>
      <c r="G366">
        <v>2</v>
      </c>
      <c r="H366">
        <v>500</v>
      </c>
      <c r="I366">
        <v>1000</v>
      </c>
      <c r="J366" t="s">
        <v>20</v>
      </c>
      <c r="K366" t="s">
        <v>1028</v>
      </c>
      <c r="L366" t="s">
        <v>1038</v>
      </c>
      <c r="M366" t="s">
        <v>1039</v>
      </c>
      <c r="N366">
        <v>1</v>
      </c>
      <c r="O366" t="s">
        <v>1045</v>
      </c>
    </row>
    <row r="367" spans="1:15" x14ac:dyDescent="0.25">
      <c r="A367">
        <v>53</v>
      </c>
      <c r="B367" s="6">
        <v>45120</v>
      </c>
      <c r="C367" s="5" t="s">
        <v>388</v>
      </c>
      <c r="D367" s="5" t="s">
        <v>2</v>
      </c>
      <c r="E367">
        <v>34</v>
      </c>
      <c r="F367" s="5" t="s">
        <v>374</v>
      </c>
      <c r="G367">
        <v>2</v>
      </c>
      <c r="H367">
        <v>50</v>
      </c>
      <c r="I367">
        <v>100</v>
      </c>
      <c r="J367" t="s">
        <v>20</v>
      </c>
      <c r="K367" t="s">
        <v>1028</v>
      </c>
      <c r="L367" t="s">
        <v>1038</v>
      </c>
      <c r="M367" t="s">
        <v>1033</v>
      </c>
      <c r="N367">
        <v>7</v>
      </c>
      <c r="O367" t="s">
        <v>1046</v>
      </c>
    </row>
    <row r="368" spans="1:15" x14ac:dyDescent="0.25">
      <c r="A368">
        <v>54</v>
      </c>
      <c r="B368" s="6">
        <v>44967</v>
      </c>
      <c r="C368" s="5" t="s">
        <v>389</v>
      </c>
      <c r="D368" s="5" t="s">
        <v>1</v>
      </c>
      <c r="E368">
        <v>38</v>
      </c>
      <c r="F368" s="5" t="s">
        <v>374</v>
      </c>
      <c r="G368">
        <v>3</v>
      </c>
      <c r="H368">
        <v>500</v>
      </c>
      <c r="I368">
        <v>1500</v>
      </c>
      <c r="J368" t="s">
        <v>20</v>
      </c>
      <c r="K368" t="s">
        <v>1028</v>
      </c>
      <c r="L368" t="s">
        <v>1038</v>
      </c>
      <c r="M368" t="s">
        <v>1039</v>
      </c>
      <c r="N368">
        <v>2</v>
      </c>
      <c r="O368" t="s">
        <v>1044</v>
      </c>
    </row>
    <row r="369" spans="1:15" x14ac:dyDescent="0.25">
      <c r="A369">
        <v>63</v>
      </c>
      <c r="B369" s="6">
        <v>44962</v>
      </c>
      <c r="C369" s="5" t="s">
        <v>390</v>
      </c>
      <c r="D369" s="5" t="s">
        <v>2</v>
      </c>
      <c r="E369">
        <v>57</v>
      </c>
      <c r="F369" s="5" t="s">
        <v>374</v>
      </c>
      <c r="G369">
        <v>2</v>
      </c>
      <c r="H369">
        <v>25</v>
      </c>
      <c r="I369">
        <v>50</v>
      </c>
      <c r="J369" t="s">
        <v>24</v>
      </c>
      <c r="K369" t="s">
        <v>1030</v>
      </c>
      <c r="L369" t="s">
        <v>1038</v>
      </c>
      <c r="M369" t="s">
        <v>1039</v>
      </c>
      <c r="N369">
        <v>2</v>
      </c>
      <c r="O369" t="s">
        <v>1044</v>
      </c>
    </row>
    <row r="370" spans="1:15" x14ac:dyDescent="0.25">
      <c r="A370">
        <v>65</v>
      </c>
      <c r="B370" s="6">
        <v>45265</v>
      </c>
      <c r="C370" s="5" t="s">
        <v>391</v>
      </c>
      <c r="D370" s="5" t="s">
        <v>2</v>
      </c>
      <c r="E370">
        <v>51</v>
      </c>
      <c r="F370" s="5" t="s">
        <v>374</v>
      </c>
      <c r="G370">
        <v>4</v>
      </c>
      <c r="H370">
        <v>500</v>
      </c>
      <c r="I370">
        <v>2000</v>
      </c>
      <c r="J370" t="s">
        <v>20</v>
      </c>
      <c r="K370" t="s">
        <v>1028</v>
      </c>
      <c r="L370" t="s">
        <v>1038</v>
      </c>
      <c r="M370" t="s">
        <v>1047</v>
      </c>
      <c r="N370">
        <v>12</v>
      </c>
      <c r="O370" t="s">
        <v>1052</v>
      </c>
    </row>
    <row r="371" spans="1:15" x14ac:dyDescent="0.25">
      <c r="A371">
        <v>66</v>
      </c>
      <c r="B371" s="6">
        <v>45043</v>
      </c>
      <c r="C371" s="5" t="s">
        <v>392</v>
      </c>
      <c r="D371" s="5" t="s">
        <v>1</v>
      </c>
      <c r="E371">
        <v>45</v>
      </c>
      <c r="F371" s="5" t="s">
        <v>374</v>
      </c>
      <c r="G371">
        <v>1</v>
      </c>
      <c r="H371">
        <v>30</v>
      </c>
      <c r="I371">
        <v>30</v>
      </c>
      <c r="J371" t="s">
        <v>20</v>
      </c>
      <c r="K371" t="s">
        <v>1028</v>
      </c>
      <c r="L371" t="s">
        <v>1038</v>
      </c>
      <c r="M371" t="s">
        <v>1041</v>
      </c>
      <c r="N371">
        <v>4</v>
      </c>
      <c r="O371" t="s">
        <v>1042</v>
      </c>
    </row>
    <row r="372" spans="1:15" x14ac:dyDescent="0.25">
      <c r="A372">
        <v>68</v>
      </c>
      <c r="B372" s="6">
        <v>44967</v>
      </c>
      <c r="C372" s="5" t="s">
        <v>393</v>
      </c>
      <c r="D372" s="5" t="s">
        <v>2</v>
      </c>
      <c r="E372">
        <v>25</v>
      </c>
      <c r="F372" s="5" t="s">
        <v>374</v>
      </c>
      <c r="G372">
        <v>1</v>
      </c>
      <c r="H372">
        <v>300</v>
      </c>
      <c r="I372">
        <v>300</v>
      </c>
      <c r="J372" t="s">
        <v>22</v>
      </c>
      <c r="K372" t="s">
        <v>1029</v>
      </c>
      <c r="L372" t="s">
        <v>1038</v>
      </c>
      <c r="M372" t="s">
        <v>1039</v>
      </c>
      <c r="N372">
        <v>2</v>
      </c>
      <c r="O372" t="s">
        <v>1044</v>
      </c>
    </row>
    <row r="373" spans="1:15" x14ac:dyDescent="0.25">
      <c r="A373">
        <v>72</v>
      </c>
      <c r="B373" s="6">
        <v>45069</v>
      </c>
      <c r="C373" s="5" t="s">
        <v>394</v>
      </c>
      <c r="D373" s="5" t="s">
        <v>1</v>
      </c>
      <c r="E373">
        <v>20</v>
      </c>
      <c r="F373" s="5" t="s">
        <v>374</v>
      </c>
      <c r="G373">
        <v>4</v>
      </c>
      <c r="H373">
        <v>500</v>
      </c>
      <c r="I373">
        <v>2000</v>
      </c>
      <c r="J373" t="s">
        <v>22</v>
      </c>
      <c r="K373" t="s">
        <v>1029</v>
      </c>
      <c r="L373" t="s">
        <v>1038</v>
      </c>
      <c r="M373" t="s">
        <v>1041</v>
      </c>
      <c r="N373">
        <v>5</v>
      </c>
      <c r="O373" t="s">
        <v>1032</v>
      </c>
    </row>
    <row r="374" spans="1:15" x14ac:dyDescent="0.25">
      <c r="A374">
        <v>73</v>
      </c>
      <c r="B374" s="6">
        <v>45159</v>
      </c>
      <c r="C374" s="5" t="s">
        <v>395</v>
      </c>
      <c r="D374" s="5" t="s">
        <v>2</v>
      </c>
      <c r="E374">
        <v>29</v>
      </c>
      <c r="F374" s="5" t="s">
        <v>374</v>
      </c>
      <c r="G374">
        <v>3</v>
      </c>
      <c r="H374">
        <v>30</v>
      </c>
      <c r="I374">
        <v>90</v>
      </c>
      <c r="J374" t="s">
        <v>22</v>
      </c>
      <c r="K374" t="s">
        <v>1029</v>
      </c>
      <c r="L374" t="s">
        <v>1038</v>
      </c>
      <c r="M374" t="s">
        <v>1033</v>
      </c>
      <c r="N374">
        <v>8</v>
      </c>
      <c r="O374" t="s">
        <v>1051</v>
      </c>
    </row>
    <row r="375" spans="1:15" x14ac:dyDescent="0.25">
      <c r="A375">
        <v>76</v>
      </c>
      <c r="B375" s="6">
        <v>45010</v>
      </c>
      <c r="C375" s="5" t="s">
        <v>396</v>
      </c>
      <c r="D375" s="5" t="s">
        <v>1</v>
      </c>
      <c r="E375">
        <v>22</v>
      </c>
      <c r="F375" s="5" t="s">
        <v>374</v>
      </c>
      <c r="G375">
        <v>2</v>
      </c>
      <c r="H375">
        <v>50</v>
      </c>
      <c r="I375">
        <v>100</v>
      </c>
      <c r="J375" t="s">
        <v>22</v>
      </c>
      <c r="K375" t="s">
        <v>1029</v>
      </c>
      <c r="L375" t="s">
        <v>1038</v>
      </c>
      <c r="M375" t="s">
        <v>1039</v>
      </c>
      <c r="N375">
        <v>3</v>
      </c>
      <c r="O375" t="s">
        <v>1040</v>
      </c>
    </row>
    <row r="376" spans="1:15" x14ac:dyDescent="0.25">
      <c r="A376">
        <v>81</v>
      </c>
      <c r="B376" s="6">
        <v>45063</v>
      </c>
      <c r="C376" s="5" t="s">
        <v>397</v>
      </c>
      <c r="D376" s="5" t="s">
        <v>2</v>
      </c>
      <c r="E376">
        <v>40</v>
      </c>
      <c r="F376" s="5" t="s">
        <v>374</v>
      </c>
      <c r="G376">
        <v>1</v>
      </c>
      <c r="H376">
        <v>50</v>
      </c>
      <c r="I376">
        <v>50</v>
      </c>
      <c r="J376" t="s">
        <v>20</v>
      </c>
      <c r="K376" t="s">
        <v>1028</v>
      </c>
      <c r="L376" t="s">
        <v>1038</v>
      </c>
      <c r="M376" t="s">
        <v>1041</v>
      </c>
      <c r="N376">
        <v>5</v>
      </c>
      <c r="O376" t="s">
        <v>1032</v>
      </c>
    </row>
    <row r="377" spans="1:15" x14ac:dyDescent="0.25">
      <c r="A377">
        <v>83</v>
      </c>
      <c r="B377" s="6">
        <v>45276</v>
      </c>
      <c r="C377" s="5" t="s">
        <v>398</v>
      </c>
      <c r="D377" s="5" t="s">
        <v>2</v>
      </c>
      <c r="E377">
        <v>54</v>
      </c>
      <c r="F377" s="5" t="s">
        <v>374</v>
      </c>
      <c r="G377">
        <v>2</v>
      </c>
      <c r="H377">
        <v>50</v>
      </c>
      <c r="I377">
        <v>100</v>
      </c>
      <c r="J377" t="s">
        <v>20</v>
      </c>
      <c r="K377" t="s">
        <v>1028</v>
      </c>
      <c r="L377" t="s">
        <v>1038</v>
      </c>
      <c r="M377" t="s">
        <v>1047</v>
      </c>
      <c r="N377">
        <v>12</v>
      </c>
      <c r="O377" t="s">
        <v>1052</v>
      </c>
    </row>
    <row r="378" spans="1:15" x14ac:dyDescent="0.25">
      <c r="A378">
        <v>84</v>
      </c>
      <c r="B378" s="6">
        <v>45258</v>
      </c>
      <c r="C378" s="5" t="s">
        <v>399</v>
      </c>
      <c r="D378" s="5" t="s">
        <v>1</v>
      </c>
      <c r="E378">
        <v>38</v>
      </c>
      <c r="F378" s="5" t="s">
        <v>374</v>
      </c>
      <c r="G378">
        <v>3</v>
      </c>
      <c r="H378">
        <v>30</v>
      </c>
      <c r="I378">
        <v>90</v>
      </c>
      <c r="J378" t="s">
        <v>20</v>
      </c>
      <c r="K378" t="s">
        <v>1028</v>
      </c>
      <c r="L378" t="s">
        <v>1038</v>
      </c>
      <c r="M378" t="s">
        <v>1047</v>
      </c>
      <c r="N378">
        <v>11</v>
      </c>
      <c r="O378" t="s">
        <v>1048</v>
      </c>
    </row>
    <row r="379" spans="1:15" x14ac:dyDescent="0.25">
      <c r="A379">
        <v>89</v>
      </c>
      <c r="B379" s="6">
        <v>45200</v>
      </c>
      <c r="C379" s="5" t="s">
        <v>400</v>
      </c>
      <c r="D379" s="5" t="s">
        <v>1</v>
      </c>
      <c r="E379">
        <v>55</v>
      </c>
      <c r="F379" s="5" t="s">
        <v>374</v>
      </c>
      <c r="G379">
        <v>4</v>
      </c>
      <c r="H379">
        <v>500</v>
      </c>
      <c r="I379">
        <v>2000</v>
      </c>
      <c r="J379" t="s">
        <v>20</v>
      </c>
      <c r="K379" t="s">
        <v>1028</v>
      </c>
      <c r="L379" t="s">
        <v>1038</v>
      </c>
      <c r="M379" t="s">
        <v>1047</v>
      </c>
      <c r="N379">
        <v>10</v>
      </c>
      <c r="O379" t="s">
        <v>1049</v>
      </c>
    </row>
    <row r="380" spans="1:15" x14ac:dyDescent="0.25">
      <c r="A380">
        <v>90</v>
      </c>
      <c r="B380" s="6">
        <v>45052</v>
      </c>
      <c r="C380" s="5" t="s">
        <v>401</v>
      </c>
      <c r="D380" s="5" t="s">
        <v>1</v>
      </c>
      <c r="E380">
        <v>51</v>
      </c>
      <c r="F380" s="5" t="s">
        <v>374</v>
      </c>
      <c r="G380">
        <v>1</v>
      </c>
      <c r="H380">
        <v>30</v>
      </c>
      <c r="I380">
        <v>30</v>
      </c>
      <c r="J380" t="s">
        <v>20</v>
      </c>
      <c r="K380" t="s">
        <v>1028</v>
      </c>
      <c r="L380" t="s">
        <v>1038</v>
      </c>
      <c r="M380" t="s">
        <v>1041</v>
      </c>
      <c r="N380">
        <v>5</v>
      </c>
      <c r="O380" t="s">
        <v>1032</v>
      </c>
    </row>
    <row r="381" spans="1:15" x14ac:dyDescent="0.25">
      <c r="A381">
        <v>91</v>
      </c>
      <c r="B381" s="6">
        <v>45010</v>
      </c>
      <c r="C381" s="5" t="s">
        <v>402</v>
      </c>
      <c r="D381" s="5" t="s">
        <v>1</v>
      </c>
      <c r="E381">
        <v>55</v>
      </c>
      <c r="F381" s="5" t="s">
        <v>374</v>
      </c>
      <c r="G381">
        <v>1</v>
      </c>
      <c r="H381">
        <v>500</v>
      </c>
      <c r="I381">
        <v>500</v>
      </c>
      <c r="J381" t="s">
        <v>20</v>
      </c>
      <c r="K381" t="s">
        <v>1028</v>
      </c>
      <c r="L381" t="s">
        <v>1038</v>
      </c>
      <c r="M381" t="s">
        <v>1039</v>
      </c>
      <c r="N381">
        <v>3</v>
      </c>
      <c r="O381" t="s">
        <v>1040</v>
      </c>
    </row>
    <row r="382" spans="1:15" x14ac:dyDescent="0.25">
      <c r="A382">
        <v>92</v>
      </c>
      <c r="B382" s="6">
        <v>45163</v>
      </c>
      <c r="C382" s="5" t="s">
        <v>403</v>
      </c>
      <c r="D382" s="5" t="s">
        <v>1</v>
      </c>
      <c r="E382">
        <v>51</v>
      </c>
      <c r="F382" s="5" t="s">
        <v>374</v>
      </c>
      <c r="G382">
        <v>4</v>
      </c>
      <c r="H382">
        <v>30</v>
      </c>
      <c r="I382">
        <v>120</v>
      </c>
      <c r="J382" t="s">
        <v>20</v>
      </c>
      <c r="K382" t="s">
        <v>1028</v>
      </c>
      <c r="L382" t="s">
        <v>1038</v>
      </c>
      <c r="M382" t="s">
        <v>1033</v>
      </c>
      <c r="N382">
        <v>8</v>
      </c>
      <c r="O382" t="s">
        <v>1051</v>
      </c>
    </row>
    <row r="383" spans="1:15" x14ac:dyDescent="0.25">
      <c r="A383">
        <v>99</v>
      </c>
      <c r="B383" s="6">
        <v>45277</v>
      </c>
      <c r="C383" s="5" t="s">
        <v>404</v>
      </c>
      <c r="D383" s="5" t="s">
        <v>1</v>
      </c>
      <c r="E383">
        <v>50</v>
      </c>
      <c r="F383" s="5" t="s">
        <v>374</v>
      </c>
      <c r="G383">
        <v>4</v>
      </c>
      <c r="H383">
        <v>300</v>
      </c>
      <c r="I383">
        <v>1200</v>
      </c>
      <c r="J383" t="s">
        <v>20</v>
      </c>
      <c r="K383" t="s">
        <v>1028</v>
      </c>
      <c r="L383" t="s">
        <v>1038</v>
      </c>
      <c r="M383" t="s">
        <v>1047</v>
      </c>
      <c r="N383">
        <v>12</v>
      </c>
      <c r="O383" t="s">
        <v>1052</v>
      </c>
    </row>
    <row r="384" spans="1:15" x14ac:dyDescent="0.25">
      <c r="A384">
        <v>100</v>
      </c>
      <c r="B384" s="6">
        <v>45093</v>
      </c>
      <c r="C384" s="5" t="s">
        <v>405</v>
      </c>
      <c r="D384" s="5" t="s">
        <v>2</v>
      </c>
      <c r="E384">
        <v>41</v>
      </c>
      <c r="F384" s="5" t="s">
        <v>374</v>
      </c>
      <c r="G384">
        <v>1</v>
      </c>
      <c r="H384">
        <v>30</v>
      </c>
      <c r="I384">
        <v>30</v>
      </c>
      <c r="J384" t="s">
        <v>20</v>
      </c>
      <c r="K384" t="s">
        <v>1028</v>
      </c>
      <c r="L384" t="s">
        <v>1038</v>
      </c>
      <c r="M384" t="s">
        <v>1041</v>
      </c>
      <c r="N384">
        <v>6</v>
      </c>
      <c r="O384" t="s">
        <v>1050</v>
      </c>
    </row>
    <row r="385" spans="1:15" x14ac:dyDescent="0.25">
      <c r="A385">
        <v>105</v>
      </c>
      <c r="B385" s="6">
        <v>45132</v>
      </c>
      <c r="C385" s="5" t="s">
        <v>406</v>
      </c>
      <c r="D385" s="5" t="s">
        <v>1</v>
      </c>
      <c r="E385">
        <v>22</v>
      </c>
      <c r="F385" s="5" t="s">
        <v>374</v>
      </c>
      <c r="G385">
        <v>1</v>
      </c>
      <c r="H385">
        <v>500</v>
      </c>
      <c r="I385">
        <v>500</v>
      </c>
      <c r="J385" t="s">
        <v>22</v>
      </c>
      <c r="K385" t="s">
        <v>1029</v>
      </c>
      <c r="L385" t="s">
        <v>1038</v>
      </c>
      <c r="M385" t="s">
        <v>1033</v>
      </c>
      <c r="N385">
        <v>7</v>
      </c>
      <c r="O385" t="s">
        <v>1046</v>
      </c>
    </row>
    <row r="386" spans="1:15" x14ac:dyDescent="0.25">
      <c r="A386">
        <v>109</v>
      </c>
      <c r="B386" s="6">
        <v>45217</v>
      </c>
      <c r="C386" s="5" t="s">
        <v>407</v>
      </c>
      <c r="D386" s="5" t="s">
        <v>1</v>
      </c>
      <c r="E386">
        <v>34</v>
      </c>
      <c r="F386" s="5" t="s">
        <v>374</v>
      </c>
      <c r="G386">
        <v>4</v>
      </c>
      <c r="H386">
        <v>500</v>
      </c>
      <c r="I386">
        <v>2000</v>
      </c>
      <c r="J386" t="s">
        <v>20</v>
      </c>
      <c r="K386" t="s">
        <v>1028</v>
      </c>
      <c r="L386" t="s">
        <v>1038</v>
      </c>
      <c r="M386" t="s">
        <v>1047</v>
      </c>
      <c r="N386">
        <v>10</v>
      </c>
      <c r="O386" t="s">
        <v>1049</v>
      </c>
    </row>
    <row r="387" spans="1:15" x14ac:dyDescent="0.25">
      <c r="A387">
        <v>111</v>
      </c>
      <c r="B387" s="6">
        <v>45035</v>
      </c>
      <c r="C387" s="5" t="s">
        <v>408</v>
      </c>
      <c r="D387" s="5" t="s">
        <v>1</v>
      </c>
      <c r="E387">
        <v>34</v>
      </c>
      <c r="F387" s="5" t="s">
        <v>374</v>
      </c>
      <c r="G387">
        <v>3</v>
      </c>
      <c r="H387">
        <v>500</v>
      </c>
      <c r="I387">
        <v>1500</v>
      </c>
      <c r="J387" t="s">
        <v>20</v>
      </c>
      <c r="K387" t="s">
        <v>1028</v>
      </c>
      <c r="L387" t="s">
        <v>1038</v>
      </c>
      <c r="M387" t="s">
        <v>1041</v>
      </c>
      <c r="N387">
        <v>4</v>
      </c>
      <c r="O387" t="s">
        <v>1042</v>
      </c>
    </row>
    <row r="388" spans="1:15" x14ac:dyDescent="0.25">
      <c r="A388">
        <v>113</v>
      </c>
      <c r="B388" s="6">
        <v>45182</v>
      </c>
      <c r="C388" s="5" t="s">
        <v>409</v>
      </c>
      <c r="D388" s="5" t="s">
        <v>1</v>
      </c>
      <c r="E388">
        <v>41</v>
      </c>
      <c r="F388" s="5" t="s">
        <v>374</v>
      </c>
      <c r="G388">
        <v>2</v>
      </c>
      <c r="H388">
        <v>25</v>
      </c>
      <c r="I388">
        <v>50</v>
      </c>
      <c r="J388" t="s">
        <v>20</v>
      </c>
      <c r="K388" t="s">
        <v>1028</v>
      </c>
      <c r="L388" t="s">
        <v>1038</v>
      </c>
      <c r="M388" t="s">
        <v>1033</v>
      </c>
      <c r="N388">
        <v>9</v>
      </c>
      <c r="O388" t="s">
        <v>1043</v>
      </c>
    </row>
    <row r="389" spans="1:15" x14ac:dyDescent="0.25">
      <c r="A389">
        <v>117</v>
      </c>
      <c r="B389" s="6">
        <v>45000</v>
      </c>
      <c r="C389" s="5" t="s">
        <v>410</v>
      </c>
      <c r="D389" s="5" t="s">
        <v>2</v>
      </c>
      <c r="E389">
        <v>19</v>
      </c>
      <c r="F389" s="5" t="s">
        <v>374</v>
      </c>
      <c r="G389">
        <v>2</v>
      </c>
      <c r="H389">
        <v>500</v>
      </c>
      <c r="I389">
        <v>1000</v>
      </c>
      <c r="J389" t="s">
        <v>22</v>
      </c>
      <c r="K389" t="s">
        <v>1029</v>
      </c>
      <c r="L389" t="s">
        <v>1038</v>
      </c>
      <c r="M389" t="s">
        <v>1039</v>
      </c>
      <c r="N389">
        <v>3</v>
      </c>
      <c r="O389" t="s">
        <v>1040</v>
      </c>
    </row>
    <row r="390" spans="1:15" x14ac:dyDescent="0.25">
      <c r="A390">
        <v>118</v>
      </c>
      <c r="B390" s="6">
        <v>45062</v>
      </c>
      <c r="C390" s="5" t="s">
        <v>411</v>
      </c>
      <c r="D390" s="5" t="s">
        <v>1</v>
      </c>
      <c r="E390">
        <v>30</v>
      </c>
      <c r="F390" s="5" t="s">
        <v>374</v>
      </c>
      <c r="G390">
        <v>4</v>
      </c>
      <c r="H390">
        <v>500</v>
      </c>
      <c r="I390">
        <v>2000</v>
      </c>
      <c r="J390" t="s">
        <v>20</v>
      </c>
      <c r="K390" t="s">
        <v>1028</v>
      </c>
      <c r="L390" t="s">
        <v>1038</v>
      </c>
      <c r="M390" t="s">
        <v>1041</v>
      </c>
      <c r="N390">
        <v>5</v>
      </c>
      <c r="O390" t="s">
        <v>1032</v>
      </c>
    </row>
    <row r="391" spans="1:15" x14ac:dyDescent="0.25">
      <c r="A391">
        <v>121</v>
      </c>
      <c r="B391" s="6">
        <v>45214</v>
      </c>
      <c r="C391" s="5" t="s">
        <v>412</v>
      </c>
      <c r="D391" s="5" t="s">
        <v>1</v>
      </c>
      <c r="E391">
        <v>28</v>
      </c>
      <c r="F391" s="5" t="s">
        <v>374</v>
      </c>
      <c r="G391">
        <v>4</v>
      </c>
      <c r="H391">
        <v>50</v>
      </c>
      <c r="I391">
        <v>200</v>
      </c>
      <c r="J391" t="s">
        <v>22</v>
      </c>
      <c r="K391" t="s">
        <v>1029</v>
      </c>
      <c r="L391" t="s">
        <v>1038</v>
      </c>
      <c r="M391" t="s">
        <v>1047</v>
      </c>
      <c r="N391">
        <v>10</v>
      </c>
      <c r="O391" t="s">
        <v>1049</v>
      </c>
    </row>
    <row r="392" spans="1:15" x14ac:dyDescent="0.25">
      <c r="A392">
        <v>122</v>
      </c>
      <c r="B392" s="6">
        <v>45202</v>
      </c>
      <c r="C392" s="5" t="s">
        <v>413</v>
      </c>
      <c r="D392" s="5" t="s">
        <v>2</v>
      </c>
      <c r="E392">
        <v>64</v>
      </c>
      <c r="F392" s="5" t="s">
        <v>374</v>
      </c>
      <c r="G392">
        <v>4</v>
      </c>
      <c r="H392">
        <v>30</v>
      </c>
      <c r="I392">
        <v>120</v>
      </c>
      <c r="J392" t="s">
        <v>24</v>
      </c>
      <c r="K392" t="s">
        <v>1030</v>
      </c>
      <c r="L392" t="s">
        <v>1038</v>
      </c>
      <c r="M392" t="s">
        <v>1047</v>
      </c>
      <c r="N392">
        <v>10</v>
      </c>
      <c r="O392" t="s">
        <v>1049</v>
      </c>
    </row>
    <row r="393" spans="1:15" x14ac:dyDescent="0.25">
      <c r="A393">
        <v>123</v>
      </c>
      <c r="B393" s="6">
        <v>45061</v>
      </c>
      <c r="C393" s="5" t="s">
        <v>414</v>
      </c>
      <c r="D393" s="5" t="s">
        <v>1</v>
      </c>
      <c r="E393">
        <v>40</v>
      </c>
      <c r="F393" s="5" t="s">
        <v>374</v>
      </c>
      <c r="G393">
        <v>2</v>
      </c>
      <c r="H393">
        <v>30</v>
      </c>
      <c r="I393">
        <v>60</v>
      </c>
      <c r="J393" t="s">
        <v>20</v>
      </c>
      <c r="K393" t="s">
        <v>1028</v>
      </c>
      <c r="L393" t="s">
        <v>1038</v>
      </c>
      <c r="M393" t="s">
        <v>1041</v>
      </c>
      <c r="N393">
        <v>5</v>
      </c>
      <c r="O393" t="s">
        <v>1032</v>
      </c>
    </row>
    <row r="394" spans="1:15" x14ac:dyDescent="0.25">
      <c r="A394">
        <v>132</v>
      </c>
      <c r="B394" s="6">
        <v>45179</v>
      </c>
      <c r="C394" s="5" t="s">
        <v>415</v>
      </c>
      <c r="D394" s="5" t="s">
        <v>2</v>
      </c>
      <c r="E394">
        <v>42</v>
      </c>
      <c r="F394" s="5" t="s">
        <v>374</v>
      </c>
      <c r="G394">
        <v>4</v>
      </c>
      <c r="H394">
        <v>50</v>
      </c>
      <c r="I394">
        <v>200</v>
      </c>
      <c r="J394" t="s">
        <v>20</v>
      </c>
      <c r="K394" t="s">
        <v>1028</v>
      </c>
      <c r="L394" t="s">
        <v>1038</v>
      </c>
      <c r="M394" t="s">
        <v>1033</v>
      </c>
      <c r="N394">
        <v>9</v>
      </c>
      <c r="O394" t="s">
        <v>1043</v>
      </c>
    </row>
    <row r="395" spans="1:15" x14ac:dyDescent="0.25">
      <c r="A395">
        <v>133</v>
      </c>
      <c r="B395" s="6">
        <v>44973</v>
      </c>
      <c r="C395" s="5" t="s">
        <v>416</v>
      </c>
      <c r="D395" s="5" t="s">
        <v>2</v>
      </c>
      <c r="E395">
        <v>20</v>
      </c>
      <c r="F395" s="5" t="s">
        <v>374</v>
      </c>
      <c r="G395">
        <v>3</v>
      </c>
      <c r="H395">
        <v>300</v>
      </c>
      <c r="I395">
        <v>900</v>
      </c>
      <c r="J395" t="s">
        <v>22</v>
      </c>
      <c r="K395" t="s">
        <v>1029</v>
      </c>
      <c r="L395" t="s">
        <v>1038</v>
      </c>
      <c r="M395" t="s">
        <v>1039</v>
      </c>
      <c r="N395">
        <v>2</v>
      </c>
      <c r="O395" t="s">
        <v>1044</v>
      </c>
    </row>
    <row r="396" spans="1:15" x14ac:dyDescent="0.25">
      <c r="A396">
        <v>134</v>
      </c>
      <c r="B396" s="6">
        <v>44951</v>
      </c>
      <c r="C396" s="5" t="s">
        <v>417</v>
      </c>
      <c r="D396" s="5" t="s">
        <v>2</v>
      </c>
      <c r="E396">
        <v>49</v>
      </c>
      <c r="F396" s="5" t="s">
        <v>374</v>
      </c>
      <c r="G396">
        <v>1</v>
      </c>
      <c r="H396">
        <v>50</v>
      </c>
      <c r="I396">
        <v>50</v>
      </c>
      <c r="J396" t="s">
        <v>20</v>
      </c>
      <c r="K396" t="s">
        <v>1028</v>
      </c>
      <c r="L396" t="s">
        <v>1038</v>
      </c>
      <c r="M396" t="s">
        <v>1039</v>
      </c>
      <c r="N396">
        <v>1</v>
      </c>
      <c r="O396" t="s">
        <v>1045</v>
      </c>
    </row>
    <row r="397" spans="1:15" x14ac:dyDescent="0.25">
      <c r="A397">
        <v>136</v>
      </c>
      <c r="B397" s="6">
        <v>45005</v>
      </c>
      <c r="C397" s="5" t="s">
        <v>418</v>
      </c>
      <c r="D397" s="5" t="s">
        <v>2</v>
      </c>
      <c r="E397">
        <v>44</v>
      </c>
      <c r="F397" s="5" t="s">
        <v>374</v>
      </c>
      <c r="G397">
        <v>2</v>
      </c>
      <c r="H397">
        <v>300</v>
      </c>
      <c r="I397">
        <v>600</v>
      </c>
      <c r="J397" t="s">
        <v>20</v>
      </c>
      <c r="K397" t="s">
        <v>1028</v>
      </c>
      <c r="L397" t="s">
        <v>1038</v>
      </c>
      <c r="M397" t="s">
        <v>1039</v>
      </c>
      <c r="N397">
        <v>3</v>
      </c>
      <c r="O397" t="s">
        <v>1040</v>
      </c>
    </row>
    <row r="398" spans="1:15" x14ac:dyDescent="0.25">
      <c r="A398">
        <v>140</v>
      </c>
      <c r="B398" s="6">
        <v>45143</v>
      </c>
      <c r="C398" s="5" t="s">
        <v>419</v>
      </c>
      <c r="D398" s="5" t="s">
        <v>2</v>
      </c>
      <c r="E398">
        <v>38</v>
      </c>
      <c r="F398" s="5" t="s">
        <v>374</v>
      </c>
      <c r="G398">
        <v>1</v>
      </c>
      <c r="H398">
        <v>30</v>
      </c>
      <c r="I398">
        <v>30</v>
      </c>
      <c r="J398" t="s">
        <v>20</v>
      </c>
      <c r="K398" t="s">
        <v>1028</v>
      </c>
      <c r="L398" t="s">
        <v>1038</v>
      </c>
      <c r="M398" t="s">
        <v>1033</v>
      </c>
      <c r="N398">
        <v>8</v>
      </c>
      <c r="O398" t="s">
        <v>1051</v>
      </c>
    </row>
    <row r="399" spans="1:15" x14ac:dyDescent="0.25">
      <c r="A399">
        <v>141</v>
      </c>
      <c r="B399" s="6">
        <v>45232</v>
      </c>
      <c r="C399" s="5" t="s">
        <v>420</v>
      </c>
      <c r="D399" s="5" t="s">
        <v>1</v>
      </c>
      <c r="E399">
        <v>22</v>
      </c>
      <c r="F399" s="5" t="s">
        <v>374</v>
      </c>
      <c r="G399">
        <v>1</v>
      </c>
      <c r="H399">
        <v>50</v>
      </c>
      <c r="I399">
        <v>50</v>
      </c>
      <c r="J399" t="s">
        <v>22</v>
      </c>
      <c r="K399" t="s">
        <v>1029</v>
      </c>
      <c r="L399" t="s">
        <v>1038</v>
      </c>
      <c r="M399" t="s">
        <v>1047</v>
      </c>
      <c r="N399">
        <v>11</v>
      </c>
      <c r="O399" t="s">
        <v>1048</v>
      </c>
    </row>
    <row r="400" spans="1:15" x14ac:dyDescent="0.25">
      <c r="A400">
        <v>142</v>
      </c>
      <c r="B400" s="6">
        <v>44959</v>
      </c>
      <c r="C400" s="5" t="s">
        <v>421</v>
      </c>
      <c r="D400" s="5" t="s">
        <v>2</v>
      </c>
      <c r="E400">
        <v>35</v>
      </c>
      <c r="F400" s="5" t="s">
        <v>374</v>
      </c>
      <c r="G400">
        <v>4</v>
      </c>
      <c r="H400">
        <v>300</v>
      </c>
      <c r="I400">
        <v>1200</v>
      </c>
      <c r="J400" t="s">
        <v>20</v>
      </c>
      <c r="K400" t="s">
        <v>1028</v>
      </c>
      <c r="L400" t="s">
        <v>1038</v>
      </c>
      <c r="M400" t="s">
        <v>1039</v>
      </c>
      <c r="N400">
        <v>2</v>
      </c>
      <c r="O400" t="s">
        <v>1044</v>
      </c>
    </row>
    <row r="401" spans="1:15" x14ac:dyDescent="0.25">
      <c r="A401">
        <v>147</v>
      </c>
      <c r="B401" s="6">
        <v>45197</v>
      </c>
      <c r="C401" s="5" t="s">
        <v>422</v>
      </c>
      <c r="D401" s="5" t="s">
        <v>2</v>
      </c>
      <c r="E401">
        <v>23</v>
      </c>
      <c r="F401" s="5" t="s">
        <v>374</v>
      </c>
      <c r="G401">
        <v>1</v>
      </c>
      <c r="H401">
        <v>300</v>
      </c>
      <c r="I401">
        <v>300</v>
      </c>
      <c r="J401" t="s">
        <v>22</v>
      </c>
      <c r="K401" t="s">
        <v>1029</v>
      </c>
      <c r="L401" t="s">
        <v>1038</v>
      </c>
      <c r="M401" t="s">
        <v>1033</v>
      </c>
      <c r="N401">
        <v>9</v>
      </c>
      <c r="O401" t="s">
        <v>1043</v>
      </c>
    </row>
    <row r="402" spans="1:15" x14ac:dyDescent="0.25">
      <c r="A402">
        <v>150</v>
      </c>
      <c r="B402" s="6">
        <v>44932</v>
      </c>
      <c r="C402" s="5" t="s">
        <v>423</v>
      </c>
      <c r="D402" s="5" t="s">
        <v>1</v>
      </c>
      <c r="E402">
        <v>58</v>
      </c>
      <c r="F402" s="5" t="s">
        <v>374</v>
      </c>
      <c r="G402">
        <v>4</v>
      </c>
      <c r="H402">
        <v>30</v>
      </c>
      <c r="I402">
        <v>120</v>
      </c>
      <c r="J402" t="s">
        <v>24</v>
      </c>
      <c r="K402" t="s">
        <v>1030</v>
      </c>
      <c r="L402" t="s">
        <v>1038</v>
      </c>
      <c r="M402" t="s">
        <v>1039</v>
      </c>
      <c r="N402">
        <v>1</v>
      </c>
      <c r="O402" t="s">
        <v>1045</v>
      </c>
    </row>
    <row r="403" spans="1:15" x14ac:dyDescent="0.25">
      <c r="A403">
        <v>152</v>
      </c>
      <c r="B403" s="6">
        <v>44985</v>
      </c>
      <c r="C403" s="5" t="s">
        <v>424</v>
      </c>
      <c r="D403" s="5" t="s">
        <v>2</v>
      </c>
      <c r="E403">
        <v>43</v>
      </c>
      <c r="F403" s="5" t="s">
        <v>374</v>
      </c>
      <c r="G403">
        <v>4</v>
      </c>
      <c r="H403">
        <v>500</v>
      </c>
      <c r="I403">
        <v>2000</v>
      </c>
      <c r="J403" t="s">
        <v>20</v>
      </c>
      <c r="K403" t="s">
        <v>1028</v>
      </c>
      <c r="L403" t="s">
        <v>1038</v>
      </c>
      <c r="M403" t="s">
        <v>1039</v>
      </c>
      <c r="N403">
        <v>2</v>
      </c>
      <c r="O403" t="s">
        <v>1044</v>
      </c>
    </row>
    <row r="404" spans="1:15" x14ac:dyDescent="0.25">
      <c r="A404">
        <v>153</v>
      </c>
      <c r="B404" s="6">
        <v>45276</v>
      </c>
      <c r="C404" s="5" t="s">
        <v>425</v>
      </c>
      <c r="D404" s="5" t="s">
        <v>2</v>
      </c>
      <c r="E404">
        <v>63</v>
      </c>
      <c r="F404" s="5" t="s">
        <v>374</v>
      </c>
      <c r="G404">
        <v>2</v>
      </c>
      <c r="H404">
        <v>500</v>
      </c>
      <c r="I404">
        <v>1000</v>
      </c>
      <c r="J404" t="s">
        <v>24</v>
      </c>
      <c r="K404" t="s">
        <v>1030</v>
      </c>
      <c r="L404" t="s">
        <v>1038</v>
      </c>
      <c r="M404" t="s">
        <v>1047</v>
      </c>
      <c r="N404">
        <v>12</v>
      </c>
      <c r="O404" t="s">
        <v>1052</v>
      </c>
    </row>
    <row r="405" spans="1:15" x14ac:dyDescent="0.25">
      <c r="A405">
        <v>154</v>
      </c>
      <c r="B405" s="6">
        <v>45201</v>
      </c>
      <c r="C405" s="5" t="s">
        <v>426</v>
      </c>
      <c r="D405" s="5" t="s">
        <v>2</v>
      </c>
      <c r="E405">
        <v>51</v>
      </c>
      <c r="F405" s="5" t="s">
        <v>374</v>
      </c>
      <c r="G405">
        <v>3</v>
      </c>
      <c r="H405">
        <v>300</v>
      </c>
      <c r="I405">
        <v>900</v>
      </c>
      <c r="J405" t="s">
        <v>20</v>
      </c>
      <c r="K405" t="s">
        <v>1028</v>
      </c>
      <c r="L405" t="s">
        <v>1038</v>
      </c>
      <c r="M405" t="s">
        <v>1047</v>
      </c>
      <c r="N405">
        <v>10</v>
      </c>
      <c r="O405" t="s">
        <v>1049</v>
      </c>
    </row>
    <row r="406" spans="1:15" x14ac:dyDescent="0.25">
      <c r="A406">
        <v>155</v>
      </c>
      <c r="B406" s="6">
        <v>45063</v>
      </c>
      <c r="C406" s="5" t="s">
        <v>427</v>
      </c>
      <c r="D406" s="5" t="s">
        <v>2</v>
      </c>
      <c r="E406">
        <v>31</v>
      </c>
      <c r="F406" s="5" t="s">
        <v>374</v>
      </c>
      <c r="G406">
        <v>4</v>
      </c>
      <c r="H406">
        <v>500</v>
      </c>
      <c r="I406">
        <v>2000</v>
      </c>
      <c r="J406" t="s">
        <v>20</v>
      </c>
      <c r="K406" t="s">
        <v>1028</v>
      </c>
      <c r="L406" t="s">
        <v>1038</v>
      </c>
      <c r="M406" t="s">
        <v>1041</v>
      </c>
      <c r="N406">
        <v>5</v>
      </c>
      <c r="O406" t="s">
        <v>1032</v>
      </c>
    </row>
    <row r="407" spans="1:15" x14ac:dyDescent="0.25">
      <c r="A407">
        <v>157</v>
      </c>
      <c r="B407" s="6">
        <v>45101</v>
      </c>
      <c r="C407" s="5" t="s">
        <v>428</v>
      </c>
      <c r="D407" s="5" t="s">
        <v>2</v>
      </c>
      <c r="E407">
        <v>62</v>
      </c>
      <c r="F407" s="5" t="s">
        <v>374</v>
      </c>
      <c r="G407">
        <v>4</v>
      </c>
      <c r="H407">
        <v>500</v>
      </c>
      <c r="I407">
        <v>2000</v>
      </c>
      <c r="J407" t="s">
        <v>24</v>
      </c>
      <c r="K407" t="s">
        <v>1030</v>
      </c>
      <c r="L407" t="s">
        <v>1038</v>
      </c>
      <c r="M407" t="s">
        <v>1041</v>
      </c>
      <c r="N407">
        <v>6</v>
      </c>
      <c r="O407" t="s">
        <v>1050</v>
      </c>
    </row>
    <row r="408" spans="1:15" x14ac:dyDescent="0.25">
      <c r="A408">
        <v>158</v>
      </c>
      <c r="B408" s="6">
        <v>44984</v>
      </c>
      <c r="C408" s="5" t="s">
        <v>429</v>
      </c>
      <c r="D408" s="5" t="s">
        <v>1</v>
      </c>
      <c r="E408">
        <v>44</v>
      </c>
      <c r="F408" s="5" t="s">
        <v>374</v>
      </c>
      <c r="G408">
        <v>2</v>
      </c>
      <c r="H408">
        <v>300</v>
      </c>
      <c r="I408">
        <v>600</v>
      </c>
      <c r="J408" t="s">
        <v>20</v>
      </c>
      <c r="K408" t="s">
        <v>1028</v>
      </c>
      <c r="L408" t="s">
        <v>1038</v>
      </c>
      <c r="M408" t="s">
        <v>1039</v>
      </c>
      <c r="N408">
        <v>2</v>
      </c>
      <c r="O408" t="s">
        <v>1044</v>
      </c>
    </row>
    <row r="409" spans="1:15" x14ac:dyDescent="0.25">
      <c r="A409">
        <v>173</v>
      </c>
      <c r="B409" s="6">
        <v>45238</v>
      </c>
      <c r="C409" s="5" t="s">
        <v>430</v>
      </c>
      <c r="D409" s="5" t="s">
        <v>2</v>
      </c>
      <c r="E409">
        <v>64</v>
      </c>
      <c r="F409" s="5" t="s">
        <v>374</v>
      </c>
      <c r="G409">
        <v>4</v>
      </c>
      <c r="H409">
        <v>30</v>
      </c>
      <c r="I409">
        <v>120</v>
      </c>
      <c r="J409" t="s">
        <v>24</v>
      </c>
      <c r="K409" t="s">
        <v>1030</v>
      </c>
      <c r="L409" t="s">
        <v>1038</v>
      </c>
      <c r="M409" t="s">
        <v>1047</v>
      </c>
      <c r="N409">
        <v>11</v>
      </c>
      <c r="O409" t="s">
        <v>1048</v>
      </c>
    </row>
    <row r="410" spans="1:15" x14ac:dyDescent="0.25">
      <c r="A410">
        <v>175</v>
      </c>
      <c r="B410" s="6">
        <v>45005</v>
      </c>
      <c r="C410" s="5" t="s">
        <v>431</v>
      </c>
      <c r="D410" s="5" t="s">
        <v>1</v>
      </c>
      <c r="E410">
        <v>31</v>
      </c>
      <c r="F410" s="5" t="s">
        <v>374</v>
      </c>
      <c r="G410">
        <v>4</v>
      </c>
      <c r="H410">
        <v>25</v>
      </c>
      <c r="I410">
        <v>100</v>
      </c>
      <c r="J410" t="s">
        <v>20</v>
      </c>
      <c r="K410" t="s">
        <v>1028</v>
      </c>
      <c r="L410" t="s">
        <v>1038</v>
      </c>
      <c r="M410" t="s">
        <v>1039</v>
      </c>
      <c r="N410">
        <v>3</v>
      </c>
      <c r="O410" t="s">
        <v>1040</v>
      </c>
    </row>
    <row r="411" spans="1:15" x14ac:dyDescent="0.25">
      <c r="A411">
        <v>179</v>
      </c>
      <c r="B411" s="6">
        <v>45198</v>
      </c>
      <c r="C411" s="5" t="s">
        <v>432</v>
      </c>
      <c r="D411" s="5" t="s">
        <v>2</v>
      </c>
      <c r="E411">
        <v>31</v>
      </c>
      <c r="F411" s="5" t="s">
        <v>374</v>
      </c>
      <c r="G411">
        <v>1</v>
      </c>
      <c r="H411">
        <v>300</v>
      </c>
      <c r="I411">
        <v>300</v>
      </c>
      <c r="J411" t="s">
        <v>20</v>
      </c>
      <c r="K411" t="s">
        <v>1028</v>
      </c>
      <c r="L411" t="s">
        <v>1038</v>
      </c>
      <c r="M411" t="s">
        <v>1033</v>
      </c>
      <c r="N411">
        <v>9</v>
      </c>
      <c r="O411" t="s">
        <v>1043</v>
      </c>
    </row>
    <row r="412" spans="1:15" x14ac:dyDescent="0.25">
      <c r="A412">
        <v>181</v>
      </c>
      <c r="B412" s="6">
        <v>45233</v>
      </c>
      <c r="C412" s="5" t="s">
        <v>433</v>
      </c>
      <c r="D412" s="5" t="s">
        <v>2</v>
      </c>
      <c r="E412">
        <v>19</v>
      </c>
      <c r="F412" s="5" t="s">
        <v>374</v>
      </c>
      <c r="G412">
        <v>4</v>
      </c>
      <c r="H412">
        <v>300</v>
      </c>
      <c r="I412">
        <v>1200</v>
      </c>
      <c r="J412" t="s">
        <v>22</v>
      </c>
      <c r="K412" t="s">
        <v>1029</v>
      </c>
      <c r="L412" t="s">
        <v>1038</v>
      </c>
      <c r="M412" t="s">
        <v>1047</v>
      </c>
      <c r="N412">
        <v>11</v>
      </c>
      <c r="O412" t="s">
        <v>1048</v>
      </c>
    </row>
    <row r="413" spans="1:15" x14ac:dyDescent="0.25">
      <c r="A413">
        <v>184</v>
      </c>
      <c r="B413" s="6">
        <v>44936</v>
      </c>
      <c r="C413" s="5" t="s">
        <v>434</v>
      </c>
      <c r="D413" s="5" t="s">
        <v>2</v>
      </c>
      <c r="E413">
        <v>31</v>
      </c>
      <c r="F413" s="5" t="s">
        <v>374</v>
      </c>
      <c r="G413">
        <v>4</v>
      </c>
      <c r="H413">
        <v>50</v>
      </c>
      <c r="I413">
        <v>200</v>
      </c>
      <c r="J413" t="s">
        <v>20</v>
      </c>
      <c r="K413" t="s">
        <v>1028</v>
      </c>
      <c r="L413" t="s">
        <v>1038</v>
      </c>
      <c r="M413" t="s">
        <v>1039</v>
      </c>
      <c r="N413">
        <v>1</v>
      </c>
      <c r="O413" t="s">
        <v>1045</v>
      </c>
    </row>
    <row r="414" spans="1:15" x14ac:dyDescent="0.25">
      <c r="A414">
        <v>201</v>
      </c>
      <c r="B414" s="6">
        <v>45208</v>
      </c>
      <c r="C414" s="5" t="s">
        <v>435</v>
      </c>
      <c r="D414" s="5" t="s">
        <v>2</v>
      </c>
      <c r="E414">
        <v>56</v>
      </c>
      <c r="F414" s="5" t="s">
        <v>374</v>
      </c>
      <c r="G414">
        <v>1</v>
      </c>
      <c r="H414">
        <v>25</v>
      </c>
      <c r="I414">
        <v>25</v>
      </c>
      <c r="J414" t="s">
        <v>24</v>
      </c>
      <c r="K414" t="s">
        <v>1030</v>
      </c>
      <c r="L414" t="s">
        <v>1038</v>
      </c>
      <c r="M414" t="s">
        <v>1047</v>
      </c>
      <c r="N414">
        <v>10</v>
      </c>
      <c r="O414" t="s">
        <v>1049</v>
      </c>
    </row>
    <row r="415" spans="1:15" x14ac:dyDescent="0.25">
      <c r="A415">
        <v>208</v>
      </c>
      <c r="B415" s="6">
        <v>45203</v>
      </c>
      <c r="C415" s="5" t="s">
        <v>436</v>
      </c>
      <c r="D415" s="5" t="s">
        <v>1</v>
      </c>
      <c r="E415">
        <v>34</v>
      </c>
      <c r="F415" s="5" t="s">
        <v>374</v>
      </c>
      <c r="G415">
        <v>4</v>
      </c>
      <c r="H415">
        <v>50</v>
      </c>
      <c r="I415">
        <v>200</v>
      </c>
      <c r="J415" t="s">
        <v>20</v>
      </c>
      <c r="K415" t="s">
        <v>1028</v>
      </c>
      <c r="L415" t="s">
        <v>1038</v>
      </c>
      <c r="M415" t="s">
        <v>1047</v>
      </c>
      <c r="N415">
        <v>10</v>
      </c>
      <c r="O415" t="s">
        <v>1049</v>
      </c>
    </row>
    <row r="416" spans="1:15" x14ac:dyDescent="0.25">
      <c r="A416">
        <v>209</v>
      </c>
      <c r="B416" s="6">
        <v>45280</v>
      </c>
      <c r="C416" s="5" t="s">
        <v>437</v>
      </c>
      <c r="D416" s="5" t="s">
        <v>1</v>
      </c>
      <c r="E416">
        <v>30</v>
      </c>
      <c r="F416" s="5" t="s">
        <v>374</v>
      </c>
      <c r="G416">
        <v>4</v>
      </c>
      <c r="H416">
        <v>50</v>
      </c>
      <c r="I416">
        <v>200</v>
      </c>
      <c r="J416" t="s">
        <v>20</v>
      </c>
      <c r="K416" t="s">
        <v>1028</v>
      </c>
      <c r="L416" t="s">
        <v>1038</v>
      </c>
      <c r="M416" t="s">
        <v>1047</v>
      </c>
      <c r="N416">
        <v>12</v>
      </c>
      <c r="O416" t="s">
        <v>1052</v>
      </c>
    </row>
    <row r="417" spans="1:15" x14ac:dyDescent="0.25">
      <c r="A417">
        <v>210</v>
      </c>
      <c r="B417" s="6">
        <v>45029</v>
      </c>
      <c r="C417" s="5" t="s">
        <v>438</v>
      </c>
      <c r="D417" s="5" t="s">
        <v>2</v>
      </c>
      <c r="E417">
        <v>37</v>
      </c>
      <c r="F417" s="5" t="s">
        <v>374</v>
      </c>
      <c r="G417">
        <v>4</v>
      </c>
      <c r="H417">
        <v>50</v>
      </c>
      <c r="I417">
        <v>200</v>
      </c>
      <c r="J417" t="s">
        <v>20</v>
      </c>
      <c r="K417" t="s">
        <v>1028</v>
      </c>
      <c r="L417" t="s">
        <v>1038</v>
      </c>
      <c r="M417" t="s">
        <v>1041</v>
      </c>
      <c r="N417">
        <v>4</v>
      </c>
      <c r="O417" t="s">
        <v>1042</v>
      </c>
    </row>
    <row r="418" spans="1:15" x14ac:dyDescent="0.25">
      <c r="A418">
        <v>216</v>
      </c>
      <c r="B418" s="6">
        <v>45118</v>
      </c>
      <c r="C418" s="5" t="s">
        <v>439</v>
      </c>
      <c r="D418" s="5" t="s">
        <v>2</v>
      </c>
      <c r="E418">
        <v>62</v>
      </c>
      <c r="F418" s="5" t="s">
        <v>374</v>
      </c>
      <c r="G418">
        <v>2</v>
      </c>
      <c r="H418">
        <v>50</v>
      </c>
      <c r="I418">
        <v>100</v>
      </c>
      <c r="J418" t="s">
        <v>24</v>
      </c>
      <c r="K418" t="s">
        <v>1030</v>
      </c>
      <c r="L418" t="s">
        <v>1038</v>
      </c>
      <c r="M418" t="s">
        <v>1033</v>
      </c>
      <c r="N418">
        <v>7</v>
      </c>
      <c r="O418" t="s">
        <v>1046</v>
      </c>
    </row>
    <row r="419" spans="1:15" x14ac:dyDescent="0.25">
      <c r="A419">
        <v>217</v>
      </c>
      <c r="B419" s="6">
        <v>45151</v>
      </c>
      <c r="C419" s="5" t="s">
        <v>440</v>
      </c>
      <c r="D419" s="5" t="s">
        <v>1</v>
      </c>
      <c r="E419">
        <v>35</v>
      </c>
      <c r="F419" s="5" t="s">
        <v>374</v>
      </c>
      <c r="G419">
        <v>4</v>
      </c>
      <c r="H419">
        <v>50</v>
      </c>
      <c r="I419">
        <v>200</v>
      </c>
      <c r="J419" t="s">
        <v>20</v>
      </c>
      <c r="K419" t="s">
        <v>1028</v>
      </c>
      <c r="L419" t="s">
        <v>1038</v>
      </c>
      <c r="M419" t="s">
        <v>1033</v>
      </c>
      <c r="N419">
        <v>8</v>
      </c>
      <c r="O419" t="s">
        <v>1051</v>
      </c>
    </row>
    <row r="420" spans="1:15" x14ac:dyDescent="0.25">
      <c r="A420">
        <v>219</v>
      </c>
      <c r="B420" s="6">
        <v>45158</v>
      </c>
      <c r="C420" s="5" t="s">
        <v>441</v>
      </c>
      <c r="D420" s="5" t="s">
        <v>1</v>
      </c>
      <c r="E420">
        <v>53</v>
      </c>
      <c r="F420" s="5" t="s">
        <v>374</v>
      </c>
      <c r="G420">
        <v>3</v>
      </c>
      <c r="H420">
        <v>30</v>
      </c>
      <c r="I420">
        <v>90</v>
      </c>
      <c r="J420" t="s">
        <v>20</v>
      </c>
      <c r="K420" t="s">
        <v>1028</v>
      </c>
      <c r="L420" t="s">
        <v>1038</v>
      </c>
      <c r="M420" t="s">
        <v>1033</v>
      </c>
      <c r="N420">
        <v>8</v>
      </c>
      <c r="O420" t="s">
        <v>1051</v>
      </c>
    </row>
    <row r="421" spans="1:15" x14ac:dyDescent="0.25">
      <c r="A421">
        <v>227</v>
      </c>
      <c r="B421" s="6">
        <v>45210</v>
      </c>
      <c r="C421" s="5" t="s">
        <v>442</v>
      </c>
      <c r="D421" s="5" t="s">
        <v>2</v>
      </c>
      <c r="E421">
        <v>36</v>
      </c>
      <c r="F421" s="5" t="s">
        <v>374</v>
      </c>
      <c r="G421">
        <v>2</v>
      </c>
      <c r="H421">
        <v>50</v>
      </c>
      <c r="I421">
        <v>100</v>
      </c>
      <c r="J421" t="s">
        <v>20</v>
      </c>
      <c r="K421" t="s">
        <v>1028</v>
      </c>
      <c r="L421" t="s">
        <v>1038</v>
      </c>
      <c r="M421" t="s">
        <v>1047</v>
      </c>
      <c r="N421">
        <v>10</v>
      </c>
      <c r="O421" t="s">
        <v>1049</v>
      </c>
    </row>
    <row r="422" spans="1:15" x14ac:dyDescent="0.25">
      <c r="A422">
        <v>228</v>
      </c>
      <c r="B422" s="6">
        <v>45044</v>
      </c>
      <c r="C422" s="5" t="s">
        <v>443</v>
      </c>
      <c r="D422" s="5" t="s">
        <v>1</v>
      </c>
      <c r="E422">
        <v>59</v>
      </c>
      <c r="F422" s="5" t="s">
        <v>374</v>
      </c>
      <c r="G422">
        <v>2</v>
      </c>
      <c r="H422">
        <v>30</v>
      </c>
      <c r="I422">
        <v>60</v>
      </c>
      <c r="J422" t="s">
        <v>24</v>
      </c>
      <c r="K422" t="s">
        <v>1030</v>
      </c>
      <c r="L422" t="s">
        <v>1038</v>
      </c>
      <c r="M422" t="s">
        <v>1041</v>
      </c>
      <c r="N422">
        <v>4</v>
      </c>
      <c r="O422" t="s">
        <v>1042</v>
      </c>
    </row>
    <row r="423" spans="1:15" x14ac:dyDescent="0.25">
      <c r="A423">
        <v>234</v>
      </c>
      <c r="B423" s="6">
        <v>45250</v>
      </c>
      <c r="C423" s="5" t="s">
        <v>444</v>
      </c>
      <c r="D423" s="5" t="s">
        <v>1</v>
      </c>
      <c r="E423">
        <v>62</v>
      </c>
      <c r="F423" s="5" t="s">
        <v>374</v>
      </c>
      <c r="G423">
        <v>2</v>
      </c>
      <c r="H423">
        <v>25</v>
      </c>
      <c r="I423">
        <v>50</v>
      </c>
      <c r="J423" t="s">
        <v>24</v>
      </c>
      <c r="K423" t="s">
        <v>1030</v>
      </c>
      <c r="L423" t="s">
        <v>1038</v>
      </c>
      <c r="M423" t="s">
        <v>1047</v>
      </c>
      <c r="N423">
        <v>11</v>
      </c>
      <c r="O423" t="s">
        <v>1048</v>
      </c>
    </row>
    <row r="424" spans="1:15" x14ac:dyDescent="0.25">
      <c r="A424">
        <v>235</v>
      </c>
      <c r="B424" s="6">
        <v>44957</v>
      </c>
      <c r="C424" s="5" t="s">
        <v>445</v>
      </c>
      <c r="D424" s="5" t="s">
        <v>1</v>
      </c>
      <c r="E424">
        <v>23</v>
      </c>
      <c r="F424" s="5" t="s">
        <v>374</v>
      </c>
      <c r="G424">
        <v>2</v>
      </c>
      <c r="H424">
        <v>500</v>
      </c>
      <c r="I424">
        <v>1000</v>
      </c>
      <c r="J424" t="s">
        <v>22</v>
      </c>
      <c r="K424" t="s">
        <v>1029</v>
      </c>
      <c r="L424" t="s">
        <v>1038</v>
      </c>
      <c r="M424" t="s">
        <v>1039</v>
      </c>
      <c r="N424">
        <v>1</v>
      </c>
      <c r="O424" t="s">
        <v>1045</v>
      </c>
    </row>
    <row r="425" spans="1:15" x14ac:dyDescent="0.25">
      <c r="A425">
        <v>239</v>
      </c>
      <c r="B425" s="6">
        <v>45096</v>
      </c>
      <c r="C425" s="5" t="s">
        <v>446</v>
      </c>
      <c r="D425" s="5" t="s">
        <v>2</v>
      </c>
      <c r="E425">
        <v>38</v>
      </c>
      <c r="F425" s="5" t="s">
        <v>374</v>
      </c>
      <c r="G425">
        <v>3</v>
      </c>
      <c r="H425">
        <v>500</v>
      </c>
      <c r="I425">
        <v>1500</v>
      </c>
      <c r="J425" t="s">
        <v>20</v>
      </c>
      <c r="K425" t="s">
        <v>1028</v>
      </c>
      <c r="L425" t="s">
        <v>1038</v>
      </c>
      <c r="M425" t="s">
        <v>1041</v>
      </c>
      <c r="N425">
        <v>6</v>
      </c>
      <c r="O425" t="s">
        <v>1050</v>
      </c>
    </row>
    <row r="426" spans="1:15" x14ac:dyDescent="0.25">
      <c r="A426">
        <v>241</v>
      </c>
      <c r="B426" s="6">
        <v>45190</v>
      </c>
      <c r="C426" s="5" t="s">
        <v>447</v>
      </c>
      <c r="D426" s="5" t="s">
        <v>1</v>
      </c>
      <c r="E426">
        <v>23</v>
      </c>
      <c r="F426" s="5" t="s">
        <v>374</v>
      </c>
      <c r="G426">
        <v>3</v>
      </c>
      <c r="H426">
        <v>25</v>
      </c>
      <c r="I426">
        <v>75</v>
      </c>
      <c r="J426" t="s">
        <v>22</v>
      </c>
      <c r="K426" t="s">
        <v>1029</v>
      </c>
      <c r="L426" t="s">
        <v>1038</v>
      </c>
      <c r="M426" t="s">
        <v>1033</v>
      </c>
      <c r="N426">
        <v>9</v>
      </c>
      <c r="O426" t="s">
        <v>1043</v>
      </c>
    </row>
    <row r="427" spans="1:15" x14ac:dyDescent="0.25">
      <c r="A427">
        <v>243</v>
      </c>
      <c r="B427" s="6">
        <v>45069</v>
      </c>
      <c r="C427" s="5" t="s">
        <v>448</v>
      </c>
      <c r="D427" s="5" t="s">
        <v>1</v>
      </c>
      <c r="E427">
        <v>47</v>
      </c>
      <c r="F427" s="5" t="s">
        <v>374</v>
      </c>
      <c r="G427">
        <v>3</v>
      </c>
      <c r="H427">
        <v>300</v>
      </c>
      <c r="I427">
        <v>900</v>
      </c>
      <c r="J427" t="s">
        <v>20</v>
      </c>
      <c r="K427" t="s">
        <v>1028</v>
      </c>
      <c r="L427" t="s">
        <v>1038</v>
      </c>
      <c r="M427" t="s">
        <v>1041</v>
      </c>
      <c r="N427">
        <v>5</v>
      </c>
      <c r="O427" t="s">
        <v>1032</v>
      </c>
    </row>
    <row r="428" spans="1:15" x14ac:dyDescent="0.25">
      <c r="A428">
        <v>246</v>
      </c>
      <c r="B428" s="6">
        <v>45036</v>
      </c>
      <c r="C428" s="5" t="s">
        <v>449</v>
      </c>
      <c r="D428" s="5" t="s">
        <v>1</v>
      </c>
      <c r="E428">
        <v>48</v>
      </c>
      <c r="F428" s="5" t="s">
        <v>374</v>
      </c>
      <c r="G428">
        <v>2</v>
      </c>
      <c r="H428">
        <v>25</v>
      </c>
      <c r="I428">
        <v>50</v>
      </c>
      <c r="J428" t="s">
        <v>20</v>
      </c>
      <c r="K428" t="s">
        <v>1028</v>
      </c>
      <c r="L428" t="s">
        <v>1038</v>
      </c>
      <c r="M428" t="s">
        <v>1041</v>
      </c>
      <c r="N428">
        <v>4</v>
      </c>
      <c r="O428" t="s">
        <v>1042</v>
      </c>
    </row>
    <row r="429" spans="1:15" x14ac:dyDescent="0.25">
      <c r="A429">
        <v>247</v>
      </c>
      <c r="B429" s="6">
        <v>45203</v>
      </c>
      <c r="C429" s="5" t="s">
        <v>450</v>
      </c>
      <c r="D429" s="5" t="s">
        <v>2</v>
      </c>
      <c r="E429">
        <v>41</v>
      </c>
      <c r="F429" s="5" t="s">
        <v>374</v>
      </c>
      <c r="G429">
        <v>2</v>
      </c>
      <c r="H429">
        <v>30</v>
      </c>
      <c r="I429">
        <v>60</v>
      </c>
      <c r="J429" t="s">
        <v>20</v>
      </c>
      <c r="K429" t="s">
        <v>1028</v>
      </c>
      <c r="L429" t="s">
        <v>1038</v>
      </c>
      <c r="M429" t="s">
        <v>1047</v>
      </c>
      <c r="N429">
        <v>10</v>
      </c>
      <c r="O429" t="s">
        <v>1049</v>
      </c>
    </row>
    <row r="430" spans="1:15" x14ac:dyDescent="0.25">
      <c r="A430">
        <v>250</v>
      </c>
      <c r="B430" s="6">
        <v>45222</v>
      </c>
      <c r="C430" s="5" t="s">
        <v>451</v>
      </c>
      <c r="D430" s="5" t="s">
        <v>2</v>
      </c>
      <c r="E430">
        <v>48</v>
      </c>
      <c r="F430" s="5" t="s">
        <v>374</v>
      </c>
      <c r="G430">
        <v>1</v>
      </c>
      <c r="H430">
        <v>50</v>
      </c>
      <c r="I430">
        <v>50</v>
      </c>
      <c r="J430" t="s">
        <v>20</v>
      </c>
      <c r="K430" t="s">
        <v>1028</v>
      </c>
      <c r="L430" t="s">
        <v>1038</v>
      </c>
      <c r="M430" t="s">
        <v>1047</v>
      </c>
      <c r="N430">
        <v>10</v>
      </c>
      <c r="O430" t="s">
        <v>1049</v>
      </c>
    </row>
    <row r="431" spans="1:15" x14ac:dyDescent="0.25">
      <c r="A431">
        <v>252</v>
      </c>
      <c r="B431" s="6">
        <v>45051</v>
      </c>
      <c r="C431" s="5" t="s">
        <v>452</v>
      </c>
      <c r="D431" s="5" t="s">
        <v>2</v>
      </c>
      <c r="E431">
        <v>54</v>
      </c>
      <c r="F431" s="5" t="s">
        <v>374</v>
      </c>
      <c r="G431">
        <v>1</v>
      </c>
      <c r="H431">
        <v>300</v>
      </c>
      <c r="I431">
        <v>300</v>
      </c>
      <c r="J431" t="s">
        <v>20</v>
      </c>
      <c r="K431" t="s">
        <v>1028</v>
      </c>
      <c r="L431" t="s">
        <v>1038</v>
      </c>
      <c r="M431" t="s">
        <v>1041</v>
      </c>
      <c r="N431">
        <v>5</v>
      </c>
      <c r="O431" t="s">
        <v>1032</v>
      </c>
    </row>
    <row r="432" spans="1:15" x14ac:dyDescent="0.25">
      <c r="A432">
        <v>254</v>
      </c>
      <c r="B432" s="6">
        <v>45135</v>
      </c>
      <c r="C432" s="5" t="s">
        <v>453</v>
      </c>
      <c r="D432" s="5" t="s">
        <v>2</v>
      </c>
      <c r="E432">
        <v>41</v>
      </c>
      <c r="F432" s="5" t="s">
        <v>374</v>
      </c>
      <c r="G432">
        <v>1</v>
      </c>
      <c r="H432">
        <v>500</v>
      </c>
      <c r="I432">
        <v>500</v>
      </c>
      <c r="J432" t="s">
        <v>20</v>
      </c>
      <c r="K432" t="s">
        <v>1028</v>
      </c>
      <c r="L432" t="s">
        <v>1038</v>
      </c>
      <c r="M432" t="s">
        <v>1033</v>
      </c>
      <c r="N432">
        <v>7</v>
      </c>
      <c r="O432" t="s">
        <v>1046</v>
      </c>
    </row>
    <row r="433" spans="1:15" x14ac:dyDescent="0.25">
      <c r="A433">
        <v>266</v>
      </c>
      <c r="B433" s="6">
        <v>45261</v>
      </c>
      <c r="C433" s="5" t="s">
        <v>454</v>
      </c>
      <c r="D433" s="5" t="s">
        <v>1</v>
      </c>
      <c r="E433">
        <v>19</v>
      </c>
      <c r="F433" s="5" t="s">
        <v>374</v>
      </c>
      <c r="G433">
        <v>2</v>
      </c>
      <c r="H433">
        <v>30</v>
      </c>
      <c r="I433">
        <v>60</v>
      </c>
      <c r="J433" t="s">
        <v>22</v>
      </c>
      <c r="K433" t="s">
        <v>1029</v>
      </c>
      <c r="L433" t="s">
        <v>1038</v>
      </c>
      <c r="M433" t="s">
        <v>1047</v>
      </c>
      <c r="N433">
        <v>12</v>
      </c>
      <c r="O433" t="s">
        <v>1052</v>
      </c>
    </row>
    <row r="434" spans="1:15" x14ac:dyDescent="0.25">
      <c r="A434">
        <v>268</v>
      </c>
      <c r="B434" s="6">
        <v>44977</v>
      </c>
      <c r="C434" s="5" t="s">
        <v>455</v>
      </c>
      <c r="D434" s="5" t="s">
        <v>1</v>
      </c>
      <c r="E434">
        <v>28</v>
      </c>
      <c r="F434" s="5" t="s">
        <v>374</v>
      </c>
      <c r="G434">
        <v>1</v>
      </c>
      <c r="H434">
        <v>30</v>
      </c>
      <c r="I434">
        <v>30</v>
      </c>
      <c r="J434" t="s">
        <v>22</v>
      </c>
      <c r="K434" t="s">
        <v>1029</v>
      </c>
      <c r="L434" t="s">
        <v>1038</v>
      </c>
      <c r="M434" t="s">
        <v>1039</v>
      </c>
      <c r="N434">
        <v>2</v>
      </c>
      <c r="O434" t="s">
        <v>1044</v>
      </c>
    </row>
    <row r="435" spans="1:15" x14ac:dyDescent="0.25">
      <c r="A435">
        <v>270</v>
      </c>
      <c r="B435" s="6">
        <v>45133</v>
      </c>
      <c r="C435" s="5" t="s">
        <v>456</v>
      </c>
      <c r="D435" s="5" t="s">
        <v>2</v>
      </c>
      <c r="E435">
        <v>43</v>
      </c>
      <c r="F435" s="5" t="s">
        <v>374</v>
      </c>
      <c r="G435">
        <v>1</v>
      </c>
      <c r="H435">
        <v>300</v>
      </c>
      <c r="I435">
        <v>300</v>
      </c>
      <c r="J435" t="s">
        <v>20</v>
      </c>
      <c r="K435" t="s">
        <v>1028</v>
      </c>
      <c r="L435" t="s">
        <v>1038</v>
      </c>
      <c r="M435" t="s">
        <v>1033</v>
      </c>
      <c r="N435">
        <v>7</v>
      </c>
      <c r="O435" t="s">
        <v>1046</v>
      </c>
    </row>
    <row r="436" spans="1:15" x14ac:dyDescent="0.25">
      <c r="A436">
        <v>272</v>
      </c>
      <c r="B436" s="6">
        <v>44982</v>
      </c>
      <c r="C436" s="5" t="s">
        <v>457</v>
      </c>
      <c r="D436" s="5" t="s">
        <v>1</v>
      </c>
      <c r="E436">
        <v>61</v>
      </c>
      <c r="F436" s="5" t="s">
        <v>374</v>
      </c>
      <c r="G436">
        <v>2</v>
      </c>
      <c r="H436">
        <v>50</v>
      </c>
      <c r="I436">
        <v>100</v>
      </c>
      <c r="J436" t="s">
        <v>24</v>
      </c>
      <c r="K436" t="s">
        <v>1030</v>
      </c>
      <c r="L436" t="s">
        <v>1038</v>
      </c>
      <c r="M436" t="s">
        <v>1039</v>
      </c>
      <c r="N436">
        <v>2</v>
      </c>
      <c r="O436" t="s">
        <v>1044</v>
      </c>
    </row>
    <row r="437" spans="1:15" x14ac:dyDescent="0.25">
      <c r="A437">
        <v>282</v>
      </c>
      <c r="B437" s="6">
        <v>45163</v>
      </c>
      <c r="C437" s="5" t="s">
        <v>458</v>
      </c>
      <c r="D437" s="5" t="s">
        <v>1</v>
      </c>
      <c r="E437">
        <v>64</v>
      </c>
      <c r="F437" s="5" t="s">
        <v>374</v>
      </c>
      <c r="G437">
        <v>4</v>
      </c>
      <c r="H437">
        <v>50</v>
      </c>
      <c r="I437">
        <v>200</v>
      </c>
      <c r="J437" t="s">
        <v>24</v>
      </c>
      <c r="K437" t="s">
        <v>1030</v>
      </c>
      <c r="L437" t="s">
        <v>1038</v>
      </c>
      <c r="M437" t="s">
        <v>1033</v>
      </c>
      <c r="N437">
        <v>8</v>
      </c>
      <c r="O437" t="s">
        <v>1051</v>
      </c>
    </row>
    <row r="438" spans="1:15" x14ac:dyDescent="0.25">
      <c r="A438">
        <v>283</v>
      </c>
      <c r="B438" s="6">
        <v>45054</v>
      </c>
      <c r="C438" s="5" t="s">
        <v>459</v>
      </c>
      <c r="D438" s="5" t="s">
        <v>1</v>
      </c>
      <c r="E438">
        <v>18</v>
      </c>
      <c r="F438" s="5" t="s">
        <v>374</v>
      </c>
      <c r="G438">
        <v>1</v>
      </c>
      <c r="H438">
        <v>500</v>
      </c>
      <c r="I438">
        <v>500</v>
      </c>
      <c r="J438" t="s">
        <v>22</v>
      </c>
      <c r="K438" t="s">
        <v>1029</v>
      </c>
      <c r="L438" t="s">
        <v>1038</v>
      </c>
      <c r="M438" t="s">
        <v>1041</v>
      </c>
      <c r="N438">
        <v>5</v>
      </c>
      <c r="O438" t="s">
        <v>1032</v>
      </c>
    </row>
    <row r="439" spans="1:15" x14ac:dyDescent="0.25">
      <c r="A439">
        <v>285</v>
      </c>
      <c r="B439" s="6">
        <v>45153</v>
      </c>
      <c r="C439" s="5" t="s">
        <v>460</v>
      </c>
      <c r="D439" s="5" t="s">
        <v>1</v>
      </c>
      <c r="E439">
        <v>31</v>
      </c>
      <c r="F439" s="5" t="s">
        <v>374</v>
      </c>
      <c r="G439">
        <v>1</v>
      </c>
      <c r="H439">
        <v>25</v>
      </c>
      <c r="I439">
        <v>25</v>
      </c>
      <c r="J439" t="s">
        <v>20</v>
      </c>
      <c r="K439" t="s">
        <v>1028</v>
      </c>
      <c r="L439" t="s">
        <v>1038</v>
      </c>
      <c r="M439" t="s">
        <v>1033</v>
      </c>
      <c r="N439">
        <v>8</v>
      </c>
      <c r="O439" t="s">
        <v>1051</v>
      </c>
    </row>
    <row r="440" spans="1:15" x14ac:dyDescent="0.25">
      <c r="A440">
        <v>286</v>
      </c>
      <c r="B440" s="6">
        <v>45208</v>
      </c>
      <c r="C440" s="5" t="s">
        <v>461</v>
      </c>
      <c r="D440" s="5" t="s">
        <v>2</v>
      </c>
      <c r="E440">
        <v>55</v>
      </c>
      <c r="F440" s="5" t="s">
        <v>374</v>
      </c>
      <c r="G440">
        <v>2</v>
      </c>
      <c r="H440">
        <v>25</v>
      </c>
      <c r="I440">
        <v>50</v>
      </c>
      <c r="J440" t="s">
        <v>20</v>
      </c>
      <c r="K440" t="s">
        <v>1028</v>
      </c>
      <c r="L440" t="s">
        <v>1038</v>
      </c>
      <c r="M440" t="s">
        <v>1047</v>
      </c>
      <c r="N440">
        <v>10</v>
      </c>
      <c r="O440" t="s">
        <v>1049</v>
      </c>
    </row>
    <row r="441" spans="1:15" x14ac:dyDescent="0.25">
      <c r="A441">
        <v>289</v>
      </c>
      <c r="B441" s="6">
        <v>45260</v>
      </c>
      <c r="C441" s="5" t="s">
        <v>462</v>
      </c>
      <c r="D441" s="5" t="s">
        <v>2</v>
      </c>
      <c r="E441">
        <v>53</v>
      </c>
      <c r="F441" s="5" t="s">
        <v>374</v>
      </c>
      <c r="G441">
        <v>2</v>
      </c>
      <c r="H441">
        <v>30</v>
      </c>
      <c r="I441">
        <v>60</v>
      </c>
      <c r="J441" t="s">
        <v>20</v>
      </c>
      <c r="K441" t="s">
        <v>1028</v>
      </c>
      <c r="L441" t="s">
        <v>1038</v>
      </c>
      <c r="M441" t="s">
        <v>1047</v>
      </c>
      <c r="N441">
        <v>11</v>
      </c>
      <c r="O441" t="s">
        <v>1048</v>
      </c>
    </row>
    <row r="442" spans="1:15" x14ac:dyDescent="0.25">
      <c r="A442">
        <v>293</v>
      </c>
      <c r="B442" s="6">
        <v>45048</v>
      </c>
      <c r="C442" s="5" t="s">
        <v>463</v>
      </c>
      <c r="D442" s="5" t="s">
        <v>2</v>
      </c>
      <c r="E442">
        <v>50</v>
      </c>
      <c r="F442" s="5" t="s">
        <v>374</v>
      </c>
      <c r="G442">
        <v>3</v>
      </c>
      <c r="H442">
        <v>30</v>
      </c>
      <c r="I442">
        <v>90</v>
      </c>
      <c r="J442" t="s">
        <v>20</v>
      </c>
      <c r="K442" t="s">
        <v>1028</v>
      </c>
      <c r="L442" t="s">
        <v>1038</v>
      </c>
      <c r="M442" t="s">
        <v>1041</v>
      </c>
      <c r="N442">
        <v>5</v>
      </c>
      <c r="O442" t="s">
        <v>1032</v>
      </c>
    </row>
    <row r="443" spans="1:15" x14ac:dyDescent="0.25">
      <c r="A443">
        <v>297</v>
      </c>
      <c r="B443" s="6">
        <v>45173</v>
      </c>
      <c r="C443" s="5" t="s">
        <v>464</v>
      </c>
      <c r="D443" s="5" t="s">
        <v>1</v>
      </c>
      <c r="E443">
        <v>40</v>
      </c>
      <c r="F443" s="5" t="s">
        <v>374</v>
      </c>
      <c r="G443">
        <v>2</v>
      </c>
      <c r="H443">
        <v>500</v>
      </c>
      <c r="I443">
        <v>1000</v>
      </c>
      <c r="J443" t="s">
        <v>20</v>
      </c>
      <c r="K443" t="s">
        <v>1028</v>
      </c>
      <c r="L443" t="s">
        <v>1038</v>
      </c>
      <c r="M443" t="s">
        <v>1033</v>
      </c>
      <c r="N443">
        <v>9</v>
      </c>
      <c r="O443" t="s">
        <v>1043</v>
      </c>
    </row>
    <row r="444" spans="1:15" x14ac:dyDescent="0.25">
      <c r="A444">
        <v>299</v>
      </c>
      <c r="B444" s="6">
        <v>45132</v>
      </c>
      <c r="C444" s="5" t="s">
        <v>465</v>
      </c>
      <c r="D444" s="5" t="s">
        <v>2</v>
      </c>
      <c r="E444">
        <v>61</v>
      </c>
      <c r="F444" s="5" t="s">
        <v>374</v>
      </c>
      <c r="G444">
        <v>2</v>
      </c>
      <c r="H444">
        <v>500</v>
      </c>
      <c r="I444">
        <v>1000</v>
      </c>
      <c r="J444" t="s">
        <v>24</v>
      </c>
      <c r="K444" t="s">
        <v>1030</v>
      </c>
      <c r="L444" t="s">
        <v>1038</v>
      </c>
      <c r="M444" t="s">
        <v>1033</v>
      </c>
      <c r="N444">
        <v>7</v>
      </c>
      <c r="O444" t="s">
        <v>1046</v>
      </c>
    </row>
    <row r="445" spans="1:15" x14ac:dyDescent="0.25">
      <c r="A445">
        <v>300</v>
      </c>
      <c r="B445" s="6">
        <v>44957</v>
      </c>
      <c r="C445" s="5" t="s">
        <v>466</v>
      </c>
      <c r="D445" s="5" t="s">
        <v>1</v>
      </c>
      <c r="E445">
        <v>19</v>
      </c>
      <c r="F445" s="5" t="s">
        <v>374</v>
      </c>
      <c r="G445">
        <v>4</v>
      </c>
      <c r="H445">
        <v>50</v>
      </c>
      <c r="I445">
        <v>200</v>
      </c>
      <c r="J445" t="s">
        <v>22</v>
      </c>
      <c r="K445" t="s">
        <v>1029</v>
      </c>
      <c r="L445" t="s">
        <v>1038</v>
      </c>
      <c r="M445" t="s">
        <v>1039</v>
      </c>
      <c r="N445">
        <v>1</v>
      </c>
      <c r="O445" t="s">
        <v>1045</v>
      </c>
    </row>
    <row r="446" spans="1:15" x14ac:dyDescent="0.25">
      <c r="A446">
        <v>303</v>
      </c>
      <c r="B446" s="6">
        <v>44928</v>
      </c>
      <c r="C446" s="5" t="s">
        <v>467</v>
      </c>
      <c r="D446" s="5" t="s">
        <v>2</v>
      </c>
      <c r="E446">
        <v>19</v>
      </c>
      <c r="F446" s="5" t="s">
        <v>374</v>
      </c>
      <c r="G446">
        <v>3</v>
      </c>
      <c r="H446">
        <v>30</v>
      </c>
      <c r="I446">
        <v>90</v>
      </c>
      <c r="J446" t="s">
        <v>22</v>
      </c>
      <c r="K446" t="s">
        <v>1029</v>
      </c>
      <c r="L446" t="s">
        <v>1038</v>
      </c>
      <c r="M446" t="s">
        <v>1039</v>
      </c>
      <c r="N446">
        <v>1</v>
      </c>
      <c r="O446" t="s">
        <v>1045</v>
      </c>
    </row>
    <row r="447" spans="1:15" x14ac:dyDescent="0.25">
      <c r="A447">
        <v>304</v>
      </c>
      <c r="B447" s="6">
        <v>45126</v>
      </c>
      <c r="C447" s="5" t="s">
        <v>468</v>
      </c>
      <c r="D447" s="5" t="s">
        <v>1</v>
      </c>
      <c r="E447">
        <v>37</v>
      </c>
      <c r="F447" s="5" t="s">
        <v>374</v>
      </c>
      <c r="G447">
        <v>2</v>
      </c>
      <c r="H447">
        <v>30</v>
      </c>
      <c r="I447">
        <v>60</v>
      </c>
      <c r="J447" t="s">
        <v>20</v>
      </c>
      <c r="K447" t="s">
        <v>1028</v>
      </c>
      <c r="L447" t="s">
        <v>1038</v>
      </c>
      <c r="M447" t="s">
        <v>1033</v>
      </c>
      <c r="N447">
        <v>7</v>
      </c>
      <c r="O447" t="s">
        <v>1046</v>
      </c>
    </row>
    <row r="448" spans="1:15" x14ac:dyDescent="0.25">
      <c r="A448">
        <v>306</v>
      </c>
      <c r="B448" s="6">
        <v>45159</v>
      </c>
      <c r="C448" s="5" t="s">
        <v>469</v>
      </c>
      <c r="D448" s="5" t="s">
        <v>2</v>
      </c>
      <c r="E448">
        <v>54</v>
      </c>
      <c r="F448" s="5" t="s">
        <v>374</v>
      </c>
      <c r="G448">
        <v>1</v>
      </c>
      <c r="H448">
        <v>50</v>
      </c>
      <c r="I448">
        <v>50</v>
      </c>
      <c r="J448" t="s">
        <v>20</v>
      </c>
      <c r="K448" t="s">
        <v>1028</v>
      </c>
      <c r="L448" t="s">
        <v>1038</v>
      </c>
      <c r="M448" t="s">
        <v>1033</v>
      </c>
      <c r="N448">
        <v>8</v>
      </c>
      <c r="O448" t="s">
        <v>1051</v>
      </c>
    </row>
    <row r="449" spans="1:15" x14ac:dyDescent="0.25">
      <c r="A449">
        <v>307</v>
      </c>
      <c r="B449" s="6">
        <v>45073</v>
      </c>
      <c r="C449" s="5" t="s">
        <v>470</v>
      </c>
      <c r="D449" s="5" t="s">
        <v>1</v>
      </c>
      <c r="E449">
        <v>26</v>
      </c>
      <c r="F449" s="5" t="s">
        <v>374</v>
      </c>
      <c r="G449">
        <v>2</v>
      </c>
      <c r="H449">
        <v>25</v>
      </c>
      <c r="I449">
        <v>50</v>
      </c>
      <c r="J449" t="s">
        <v>22</v>
      </c>
      <c r="K449" t="s">
        <v>1029</v>
      </c>
      <c r="L449" t="s">
        <v>1038</v>
      </c>
      <c r="M449" t="s">
        <v>1041</v>
      </c>
      <c r="N449">
        <v>5</v>
      </c>
      <c r="O449" t="s">
        <v>1032</v>
      </c>
    </row>
    <row r="450" spans="1:15" x14ac:dyDescent="0.25">
      <c r="A450">
        <v>317</v>
      </c>
      <c r="B450" s="6">
        <v>44956</v>
      </c>
      <c r="C450" s="5" t="s">
        <v>471</v>
      </c>
      <c r="D450" s="5" t="s">
        <v>2</v>
      </c>
      <c r="E450">
        <v>22</v>
      </c>
      <c r="F450" s="5" t="s">
        <v>374</v>
      </c>
      <c r="G450">
        <v>3</v>
      </c>
      <c r="H450">
        <v>30</v>
      </c>
      <c r="I450">
        <v>90</v>
      </c>
      <c r="J450" t="s">
        <v>22</v>
      </c>
      <c r="K450" t="s">
        <v>1029</v>
      </c>
      <c r="L450" t="s">
        <v>1038</v>
      </c>
      <c r="M450" t="s">
        <v>1039</v>
      </c>
      <c r="N450">
        <v>1</v>
      </c>
      <c r="O450" t="s">
        <v>1045</v>
      </c>
    </row>
    <row r="451" spans="1:15" x14ac:dyDescent="0.25">
      <c r="A451">
        <v>320</v>
      </c>
      <c r="B451" s="6">
        <v>44958</v>
      </c>
      <c r="C451" s="5" t="s">
        <v>472</v>
      </c>
      <c r="D451" s="5" t="s">
        <v>1</v>
      </c>
      <c r="E451">
        <v>28</v>
      </c>
      <c r="F451" s="5" t="s">
        <v>374</v>
      </c>
      <c r="G451">
        <v>4</v>
      </c>
      <c r="H451">
        <v>300</v>
      </c>
      <c r="I451">
        <v>1200</v>
      </c>
      <c r="J451" t="s">
        <v>22</v>
      </c>
      <c r="K451" t="s">
        <v>1029</v>
      </c>
      <c r="L451" t="s">
        <v>1038</v>
      </c>
      <c r="M451" t="s">
        <v>1039</v>
      </c>
      <c r="N451">
        <v>2</v>
      </c>
      <c r="O451" t="s">
        <v>1044</v>
      </c>
    </row>
    <row r="452" spans="1:15" x14ac:dyDescent="0.25">
      <c r="A452">
        <v>321</v>
      </c>
      <c r="B452" s="6">
        <v>45087</v>
      </c>
      <c r="C452" s="5" t="s">
        <v>473</v>
      </c>
      <c r="D452" s="5" t="s">
        <v>1</v>
      </c>
      <c r="E452">
        <v>26</v>
      </c>
      <c r="F452" s="5" t="s">
        <v>374</v>
      </c>
      <c r="G452">
        <v>2</v>
      </c>
      <c r="H452">
        <v>25</v>
      </c>
      <c r="I452">
        <v>50</v>
      </c>
      <c r="J452" t="s">
        <v>22</v>
      </c>
      <c r="K452" t="s">
        <v>1029</v>
      </c>
      <c r="L452" t="s">
        <v>1038</v>
      </c>
      <c r="M452" t="s">
        <v>1041</v>
      </c>
      <c r="N452">
        <v>6</v>
      </c>
      <c r="O452" t="s">
        <v>1050</v>
      </c>
    </row>
    <row r="453" spans="1:15" x14ac:dyDescent="0.25">
      <c r="A453">
        <v>322</v>
      </c>
      <c r="B453" s="6">
        <v>44956</v>
      </c>
      <c r="C453" s="5" t="s">
        <v>474</v>
      </c>
      <c r="D453" s="5" t="s">
        <v>2</v>
      </c>
      <c r="E453">
        <v>51</v>
      </c>
      <c r="F453" s="5" t="s">
        <v>374</v>
      </c>
      <c r="G453">
        <v>1</v>
      </c>
      <c r="H453">
        <v>500</v>
      </c>
      <c r="I453">
        <v>500</v>
      </c>
      <c r="J453" t="s">
        <v>20</v>
      </c>
      <c r="K453" t="s">
        <v>1028</v>
      </c>
      <c r="L453" t="s">
        <v>1038</v>
      </c>
      <c r="M453" t="s">
        <v>1039</v>
      </c>
      <c r="N453">
        <v>1</v>
      </c>
      <c r="O453" t="s">
        <v>1045</v>
      </c>
    </row>
    <row r="454" spans="1:15" x14ac:dyDescent="0.25">
      <c r="A454">
        <v>324</v>
      </c>
      <c r="B454" s="6">
        <v>45226</v>
      </c>
      <c r="C454" s="5" t="s">
        <v>475</v>
      </c>
      <c r="D454" s="5" t="s">
        <v>1</v>
      </c>
      <c r="E454">
        <v>52</v>
      </c>
      <c r="F454" s="5" t="s">
        <v>374</v>
      </c>
      <c r="G454">
        <v>3</v>
      </c>
      <c r="H454">
        <v>50</v>
      </c>
      <c r="I454">
        <v>150</v>
      </c>
      <c r="J454" t="s">
        <v>20</v>
      </c>
      <c r="K454" t="s">
        <v>1028</v>
      </c>
      <c r="L454" t="s">
        <v>1038</v>
      </c>
      <c r="M454" t="s">
        <v>1047</v>
      </c>
      <c r="N454">
        <v>10</v>
      </c>
      <c r="O454" t="s">
        <v>1049</v>
      </c>
    </row>
    <row r="455" spans="1:15" x14ac:dyDescent="0.25">
      <c r="A455">
        <v>325</v>
      </c>
      <c r="B455" s="6">
        <v>45171</v>
      </c>
      <c r="C455" s="5" t="s">
        <v>476</v>
      </c>
      <c r="D455" s="5" t="s">
        <v>1</v>
      </c>
      <c r="E455">
        <v>52</v>
      </c>
      <c r="F455" s="5" t="s">
        <v>374</v>
      </c>
      <c r="G455">
        <v>2</v>
      </c>
      <c r="H455">
        <v>25</v>
      </c>
      <c r="I455">
        <v>50</v>
      </c>
      <c r="J455" t="s">
        <v>20</v>
      </c>
      <c r="K455" t="s">
        <v>1028</v>
      </c>
      <c r="L455" t="s">
        <v>1038</v>
      </c>
      <c r="M455" t="s">
        <v>1033</v>
      </c>
      <c r="N455">
        <v>9</v>
      </c>
      <c r="O455" t="s">
        <v>1043</v>
      </c>
    </row>
    <row r="456" spans="1:15" x14ac:dyDescent="0.25">
      <c r="A456">
        <v>327</v>
      </c>
      <c r="B456" s="6">
        <v>45198</v>
      </c>
      <c r="C456" s="5" t="s">
        <v>477</v>
      </c>
      <c r="D456" s="5" t="s">
        <v>2</v>
      </c>
      <c r="E456">
        <v>57</v>
      </c>
      <c r="F456" s="5" t="s">
        <v>374</v>
      </c>
      <c r="G456">
        <v>3</v>
      </c>
      <c r="H456">
        <v>50</v>
      </c>
      <c r="I456">
        <v>150</v>
      </c>
      <c r="J456" t="s">
        <v>24</v>
      </c>
      <c r="K456" t="s">
        <v>1030</v>
      </c>
      <c r="L456" t="s">
        <v>1038</v>
      </c>
      <c r="M456" t="s">
        <v>1033</v>
      </c>
      <c r="N456">
        <v>9</v>
      </c>
      <c r="O456" t="s">
        <v>1043</v>
      </c>
    </row>
    <row r="457" spans="1:15" x14ac:dyDescent="0.25">
      <c r="A457">
        <v>329</v>
      </c>
      <c r="B457" s="6">
        <v>44956</v>
      </c>
      <c r="C457" s="5" t="s">
        <v>478</v>
      </c>
      <c r="D457" s="5" t="s">
        <v>1</v>
      </c>
      <c r="E457">
        <v>46</v>
      </c>
      <c r="F457" s="5" t="s">
        <v>374</v>
      </c>
      <c r="G457">
        <v>4</v>
      </c>
      <c r="H457">
        <v>25</v>
      </c>
      <c r="I457">
        <v>100</v>
      </c>
      <c r="J457" t="s">
        <v>20</v>
      </c>
      <c r="K457" t="s">
        <v>1028</v>
      </c>
      <c r="L457" t="s">
        <v>1038</v>
      </c>
      <c r="M457" t="s">
        <v>1039</v>
      </c>
      <c r="N457">
        <v>1</v>
      </c>
      <c r="O457" t="s">
        <v>1045</v>
      </c>
    </row>
    <row r="458" spans="1:15" x14ac:dyDescent="0.25">
      <c r="A458">
        <v>331</v>
      </c>
      <c r="B458" s="6">
        <v>44968</v>
      </c>
      <c r="C458" s="5" t="s">
        <v>479</v>
      </c>
      <c r="D458" s="5" t="s">
        <v>2</v>
      </c>
      <c r="E458">
        <v>28</v>
      </c>
      <c r="F458" s="5" t="s">
        <v>374</v>
      </c>
      <c r="G458">
        <v>3</v>
      </c>
      <c r="H458">
        <v>30</v>
      </c>
      <c r="I458">
        <v>90</v>
      </c>
      <c r="J458" t="s">
        <v>22</v>
      </c>
      <c r="K458" t="s">
        <v>1029</v>
      </c>
      <c r="L458" t="s">
        <v>1038</v>
      </c>
      <c r="M458" t="s">
        <v>1039</v>
      </c>
      <c r="N458">
        <v>2</v>
      </c>
      <c r="O458" t="s">
        <v>1044</v>
      </c>
    </row>
    <row r="459" spans="1:15" x14ac:dyDescent="0.25">
      <c r="A459">
        <v>332</v>
      </c>
      <c r="B459" s="6">
        <v>45022</v>
      </c>
      <c r="C459" s="5" t="s">
        <v>480</v>
      </c>
      <c r="D459" s="5" t="s">
        <v>2</v>
      </c>
      <c r="E459">
        <v>58</v>
      </c>
      <c r="F459" s="5" t="s">
        <v>374</v>
      </c>
      <c r="G459">
        <v>4</v>
      </c>
      <c r="H459">
        <v>300</v>
      </c>
      <c r="I459">
        <v>1200</v>
      </c>
      <c r="J459" t="s">
        <v>24</v>
      </c>
      <c r="K459" t="s">
        <v>1030</v>
      </c>
      <c r="L459" t="s">
        <v>1038</v>
      </c>
      <c r="M459" t="s">
        <v>1041</v>
      </c>
      <c r="N459">
        <v>4</v>
      </c>
      <c r="O459" t="s">
        <v>1042</v>
      </c>
    </row>
    <row r="460" spans="1:15" x14ac:dyDescent="0.25">
      <c r="A460">
        <v>333</v>
      </c>
      <c r="B460" s="6">
        <v>44962</v>
      </c>
      <c r="C460" s="5" t="s">
        <v>481</v>
      </c>
      <c r="D460" s="5" t="s">
        <v>1</v>
      </c>
      <c r="E460">
        <v>54</v>
      </c>
      <c r="F460" s="5" t="s">
        <v>374</v>
      </c>
      <c r="G460">
        <v>4</v>
      </c>
      <c r="H460">
        <v>300</v>
      </c>
      <c r="I460">
        <v>1200</v>
      </c>
      <c r="J460" t="s">
        <v>20</v>
      </c>
      <c r="K460" t="s">
        <v>1028</v>
      </c>
      <c r="L460" t="s">
        <v>1038</v>
      </c>
      <c r="M460" t="s">
        <v>1039</v>
      </c>
      <c r="N460">
        <v>2</v>
      </c>
      <c r="O460" t="s">
        <v>1044</v>
      </c>
    </row>
    <row r="461" spans="1:15" x14ac:dyDescent="0.25">
      <c r="A461">
        <v>334</v>
      </c>
      <c r="B461" s="6">
        <v>45231</v>
      </c>
      <c r="C461" s="5" t="s">
        <v>482</v>
      </c>
      <c r="D461" s="5" t="s">
        <v>2</v>
      </c>
      <c r="E461">
        <v>31</v>
      </c>
      <c r="F461" s="5" t="s">
        <v>374</v>
      </c>
      <c r="G461">
        <v>3</v>
      </c>
      <c r="H461">
        <v>300</v>
      </c>
      <c r="I461">
        <v>900</v>
      </c>
      <c r="J461" t="s">
        <v>20</v>
      </c>
      <c r="K461" t="s">
        <v>1028</v>
      </c>
      <c r="L461" t="s">
        <v>1038</v>
      </c>
      <c r="M461" t="s">
        <v>1047</v>
      </c>
      <c r="N461">
        <v>11</v>
      </c>
      <c r="O461" t="s">
        <v>1048</v>
      </c>
    </row>
    <row r="462" spans="1:15" x14ac:dyDescent="0.25">
      <c r="A462">
        <v>339</v>
      </c>
      <c r="B462" s="6">
        <v>44988</v>
      </c>
      <c r="C462" s="5" t="s">
        <v>483</v>
      </c>
      <c r="D462" s="5" t="s">
        <v>1</v>
      </c>
      <c r="E462">
        <v>22</v>
      </c>
      <c r="F462" s="5" t="s">
        <v>374</v>
      </c>
      <c r="G462">
        <v>2</v>
      </c>
      <c r="H462">
        <v>25</v>
      </c>
      <c r="I462">
        <v>50</v>
      </c>
      <c r="J462" t="s">
        <v>22</v>
      </c>
      <c r="K462" t="s">
        <v>1029</v>
      </c>
      <c r="L462" t="s">
        <v>1038</v>
      </c>
      <c r="M462" t="s">
        <v>1039</v>
      </c>
      <c r="N462">
        <v>3</v>
      </c>
      <c r="O462" t="s">
        <v>1040</v>
      </c>
    </row>
    <row r="463" spans="1:15" x14ac:dyDescent="0.25">
      <c r="A463">
        <v>343</v>
      </c>
      <c r="B463" s="6">
        <v>45231</v>
      </c>
      <c r="C463" s="5" t="s">
        <v>484</v>
      </c>
      <c r="D463" s="5" t="s">
        <v>2</v>
      </c>
      <c r="E463">
        <v>21</v>
      </c>
      <c r="F463" s="5" t="s">
        <v>374</v>
      </c>
      <c r="G463">
        <v>2</v>
      </c>
      <c r="H463">
        <v>25</v>
      </c>
      <c r="I463">
        <v>50</v>
      </c>
      <c r="J463" t="s">
        <v>22</v>
      </c>
      <c r="K463" t="s">
        <v>1029</v>
      </c>
      <c r="L463" t="s">
        <v>1038</v>
      </c>
      <c r="M463" t="s">
        <v>1047</v>
      </c>
      <c r="N463">
        <v>11</v>
      </c>
      <c r="O463" t="s">
        <v>1048</v>
      </c>
    </row>
    <row r="464" spans="1:15" x14ac:dyDescent="0.25">
      <c r="A464">
        <v>345</v>
      </c>
      <c r="B464" s="6">
        <v>45244</v>
      </c>
      <c r="C464" s="5" t="s">
        <v>485</v>
      </c>
      <c r="D464" s="5" t="s">
        <v>2</v>
      </c>
      <c r="E464">
        <v>62</v>
      </c>
      <c r="F464" s="5" t="s">
        <v>374</v>
      </c>
      <c r="G464">
        <v>1</v>
      </c>
      <c r="H464">
        <v>30</v>
      </c>
      <c r="I464">
        <v>30</v>
      </c>
      <c r="J464" t="s">
        <v>24</v>
      </c>
      <c r="K464" t="s">
        <v>1030</v>
      </c>
      <c r="L464" t="s">
        <v>1038</v>
      </c>
      <c r="M464" t="s">
        <v>1047</v>
      </c>
      <c r="N464">
        <v>11</v>
      </c>
      <c r="O464" t="s">
        <v>1048</v>
      </c>
    </row>
    <row r="465" spans="1:15" x14ac:dyDescent="0.25">
      <c r="A465">
        <v>347</v>
      </c>
      <c r="B465" s="6">
        <v>45141</v>
      </c>
      <c r="C465" s="5" t="s">
        <v>486</v>
      </c>
      <c r="D465" s="5" t="s">
        <v>2</v>
      </c>
      <c r="E465">
        <v>42</v>
      </c>
      <c r="F465" s="5" t="s">
        <v>374</v>
      </c>
      <c r="G465">
        <v>1</v>
      </c>
      <c r="H465">
        <v>25</v>
      </c>
      <c r="I465">
        <v>25</v>
      </c>
      <c r="J465" t="s">
        <v>20</v>
      </c>
      <c r="K465" t="s">
        <v>1028</v>
      </c>
      <c r="L465" t="s">
        <v>1038</v>
      </c>
      <c r="M465" t="s">
        <v>1033</v>
      </c>
      <c r="N465">
        <v>8</v>
      </c>
      <c r="O465" t="s">
        <v>1051</v>
      </c>
    </row>
    <row r="466" spans="1:15" x14ac:dyDescent="0.25">
      <c r="A466">
        <v>348</v>
      </c>
      <c r="B466" s="6">
        <v>45263</v>
      </c>
      <c r="C466" s="5" t="s">
        <v>487</v>
      </c>
      <c r="D466" s="5" t="s">
        <v>1</v>
      </c>
      <c r="E466">
        <v>35</v>
      </c>
      <c r="F466" s="5" t="s">
        <v>374</v>
      </c>
      <c r="G466">
        <v>2</v>
      </c>
      <c r="H466">
        <v>300</v>
      </c>
      <c r="I466">
        <v>600</v>
      </c>
      <c r="J466" t="s">
        <v>20</v>
      </c>
      <c r="K466" t="s">
        <v>1028</v>
      </c>
      <c r="L466" t="s">
        <v>1038</v>
      </c>
      <c r="M466" t="s">
        <v>1047</v>
      </c>
      <c r="N466">
        <v>12</v>
      </c>
      <c r="O466" t="s">
        <v>1052</v>
      </c>
    </row>
    <row r="467" spans="1:15" x14ac:dyDescent="0.25">
      <c r="A467">
        <v>352</v>
      </c>
      <c r="B467" s="6">
        <v>45088</v>
      </c>
      <c r="C467" s="5" t="s">
        <v>488</v>
      </c>
      <c r="D467" s="5" t="s">
        <v>2</v>
      </c>
      <c r="E467">
        <v>57</v>
      </c>
      <c r="F467" s="5" t="s">
        <v>374</v>
      </c>
      <c r="G467">
        <v>2</v>
      </c>
      <c r="H467">
        <v>500</v>
      </c>
      <c r="I467">
        <v>1000</v>
      </c>
      <c r="J467" t="s">
        <v>24</v>
      </c>
      <c r="K467" t="s">
        <v>1030</v>
      </c>
      <c r="L467" t="s">
        <v>1038</v>
      </c>
      <c r="M467" t="s">
        <v>1041</v>
      </c>
      <c r="N467">
        <v>6</v>
      </c>
      <c r="O467" t="s">
        <v>1050</v>
      </c>
    </row>
    <row r="468" spans="1:15" x14ac:dyDescent="0.25">
      <c r="A468">
        <v>353</v>
      </c>
      <c r="B468" s="6">
        <v>45060</v>
      </c>
      <c r="C468" s="5" t="s">
        <v>489</v>
      </c>
      <c r="D468" s="5" t="s">
        <v>2</v>
      </c>
      <c r="E468">
        <v>31</v>
      </c>
      <c r="F468" s="5" t="s">
        <v>374</v>
      </c>
      <c r="G468">
        <v>1</v>
      </c>
      <c r="H468">
        <v>500</v>
      </c>
      <c r="I468">
        <v>500</v>
      </c>
      <c r="J468" t="s">
        <v>20</v>
      </c>
      <c r="K468" t="s">
        <v>1028</v>
      </c>
      <c r="L468" t="s">
        <v>1038</v>
      </c>
      <c r="M468" t="s">
        <v>1041</v>
      </c>
      <c r="N468">
        <v>5</v>
      </c>
      <c r="O468" t="s">
        <v>1032</v>
      </c>
    </row>
    <row r="469" spans="1:15" x14ac:dyDescent="0.25">
      <c r="A469">
        <v>355</v>
      </c>
      <c r="B469" s="6">
        <v>45269</v>
      </c>
      <c r="C469" s="5" t="s">
        <v>490</v>
      </c>
      <c r="D469" s="5" t="s">
        <v>1</v>
      </c>
      <c r="E469">
        <v>55</v>
      </c>
      <c r="F469" s="5" t="s">
        <v>374</v>
      </c>
      <c r="G469">
        <v>1</v>
      </c>
      <c r="H469">
        <v>500</v>
      </c>
      <c r="I469">
        <v>500</v>
      </c>
      <c r="J469" t="s">
        <v>20</v>
      </c>
      <c r="K469" t="s">
        <v>1028</v>
      </c>
      <c r="L469" t="s">
        <v>1038</v>
      </c>
      <c r="M469" t="s">
        <v>1047</v>
      </c>
      <c r="N469">
        <v>12</v>
      </c>
      <c r="O469" t="s">
        <v>1052</v>
      </c>
    </row>
    <row r="470" spans="1:15" x14ac:dyDescent="0.25">
      <c r="A470">
        <v>356</v>
      </c>
      <c r="B470" s="6">
        <v>45087</v>
      </c>
      <c r="C470" s="5" t="s">
        <v>491</v>
      </c>
      <c r="D470" s="5" t="s">
        <v>2</v>
      </c>
      <c r="E470">
        <v>50</v>
      </c>
      <c r="F470" s="5" t="s">
        <v>374</v>
      </c>
      <c r="G470">
        <v>3</v>
      </c>
      <c r="H470">
        <v>500</v>
      </c>
      <c r="I470">
        <v>1500</v>
      </c>
      <c r="J470" t="s">
        <v>20</v>
      </c>
      <c r="K470" t="s">
        <v>1028</v>
      </c>
      <c r="L470" t="s">
        <v>1038</v>
      </c>
      <c r="M470" t="s">
        <v>1041</v>
      </c>
      <c r="N470">
        <v>6</v>
      </c>
      <c r="O470" t="s">
        <v>1050</v>
      </c>
    </row>
    <row r="471" spans="1:15" x14ac:dyDescent="0.25">
      <c r="A471">
        <v>357</v>
      </c>
      <c r="B471" s="6">
        <v>45049</v>
      </c>
      <c r="C471" s="5" t="s">
        <v>492</v>
      </c>
      <c r="D471" s="5" t="s">
        <v>1</v>
      </c>
      <c r="E471">
        <v>40</v>
      </c>
      <c r="F471" s="5" t="s">
        <v>374</v>
      </c>
      <c r="G471">
        <v>3</v>
      </c>
      <c r="H471">
        <v>25</v>
      </c>
      <c r="I471">
        <v>75</v>
      </c>
      <c r="J471" t="s">
        <v>20</v>
      </c>
      <c r="K471" t="s">
        <v>1028</v>
      </c>
      <c r="L471" t="s">
        <v>1038</v>
      </c>
      <c r="M471" t="s">
        <v>1041</v>
      </c>
      <c r="N471">
        <v>5</v>
      </c>
      <c r="O471" t="s">
        <v>1032</v>
      </c>
    </row>
    <row r="472" spans="1:15" x14ac:dyDescent="0.25">
      <c r="A472">
        <v>361</v>
      </c>
      <c r="B472" s="6">
        <v>45270</v>
      </c>
      <c r="C472" s="5" t="s">
        <v>493</v>
      </c>
      <c r="D472" s="5" t="s">
        <v>1</v>
      </c>
      <c r="E472">
        <v>34</v>
      </c>
      <c r="F472" s="5" t="s">
        <v>374</v>
      </c>
      <c r="G472">
        <v>4</v>
      </c>
      <c r="H472">
        <v>300</v>
      </c>
      <c r="I472">
        <v>1200</v>
      </c>
      <c r="J472" t="s">
        <v>20</v>
      </c>
      <c r="K472" t="s">
        <v>1028</v>
      </c>
      <c r="L472" t="s">
        <v>1038</v>
      </c>
      <c r="M472" t="s">
        <v>1047</v>
      </c>
      <c r="N472">
        <v>12</v>
      </c>
      <c r="O472" t="s">
        <v>1052</v>
      </c>
    </row>
    <row r="473" spans="1:15" x14ac:dyDescent="0.25">
      <c r="A473">
        <v>367</v>
      </c>
      <c r="B473" s="6">
        <v>44931</v>
      </c>
      <c r="C473" s="5" t="s">
        <v>494</v>
      </c>
      <c r="D473" s="5" t="s">
        <v>1</v>
      </c>
      <c r="E473">
        <v>57</v>
      </c>
      <c r="F473" s="5" t="s">
        <v>374</v>
      </c>
      <c r="G473">
        <v>1</v>
      </c>
      <c r="H473">
        <v>50</v>
      </c>
      <c r="I473">
        <v>50</v>
      </c>
      <c r="J473" t="s">
        <v>24</v>
      </c>
      <c r="K473" t="s">
        <v>1030</v>
      </c>
      <c r="L473" t="s">
        <v>1038</v>
      </c>
      <c r="M473" t="s">
        <v>1039</v>
      </c>
      <c r="N473">
        <v>1</v>
      </c>
      <c r="O473" t="s">
        <v>1045</v>
      </c>
    </row>
    <row r="474" spans="1:15" x14ac:dyDescent="0.25">
      <c r="A474">
        <v>369</v>
      </c>
      <c r="B474" s="6">
        <v>45245</v>
      </c>
      <c r="C474" s="5" t="s">
        <v>495</v>
      </c>
      <c r="D474" s="5" t="s">
        <v>2</v>
      </c>
      <c r="E474">
        <v>23</v>
      </c>
      <c r="F474" s="5" t="s">
        <v>374</v>
      </c>
      <c r="G474">
        <v>3</v>
      </c>
      <c r="H474">
        <v>500</v>
      </c>
      <c r="I474">
        <v>1500</v>
      </c>
      <c r="J474" t="s">
        <v>22</v>
      </c>
      <c r="K474" t="s">
        <v>1029</v>
      </c>
      <c r="L474" t="s">
        <v>1038</v>
      </c>
      <c r="M474" t="s">
        <v>1047</v>
      </c>
      <c r="N474">
        <v>11</v>
      </c>
      <c r="O474" t="s">
        <v>1048</v>
      </c>
    </row>
    <row r="475" spans="1:15" x14ac:dyDescent="0.25">
      <c r="A475">
        <v>370</v>
      </c>
      <c r="B475" s="6">
        <v>45215</v>
      </c>
      <c r="C475" s="5" t="s">
        <v>496</v>
      </c>
      <c r="D475" s="5" t="s">
        <v>2</v>
      </c>
      <c r="E475">
        <v>23</v>
      </c>
      <c r="F475" s="5" t="s">
        <v>374</v>
      </c>
      <c r="G475">
        <v>2</v>
      </c>
      <c r="H475">
        <v>30</v>
      </c>
      <c r="I475">
        <v>60</v>
      </c>
      <c r="J475" t="s">
        <v>22</v>
      </c>
      <c r="K475" t="s">
        <v>1029</v>
      </c>
      <c r="L475" t="s">
        <v>1038</v>
      </c>
      <c r="M475" t="s">
        <v>1047</v>
      </c>
      <c r="N475">
        <v>10</v>
      </c>
      <c r="O475" t="s">
        <v>1049</v>
      </c>
    </row>
    <row r="476" spans="1:15" x14ac:dyDescent="0.25">
      <c r="A476">
        <v>380</v>
      </c>
      <c r="B476" s="6">
        <v>45052</v>
      </c>
      <c r="C476" s="5" t="s">
        <v>497</v>
      </c>
      <c r="D476" s="5" t="s">
        <v>2</v>
      </c>
      <c r="E476">
        <v>56</v>
      </c>
      <c r="F476" s="5" t="s">
        <v>374</v>
      </c>
      <c r="G476">
        <v>2</v>
      </c>
      <c r="H476">
        <v>300</v>
      </c>
      <c r="I476">
        <v>600</v>
      </c>
      <c r="J476" t="s">
        <v>24</v>
      </c>
      <c r="K476" t="s">
        <v>1030</v>
      </c>
      <c r="L476" t="s">
        <v>1038</v>
      </c>
      <c r="M476" t="s">
        <v>1041</v>
      </c>
      <c r="N476">
        <v>5</v>
      </c>
      <c r="O476" t="s">
        <v>1032</v>
      </c>
    </row>
    <row r="477" spans="1:15" x14ac:dyDescent="0.25">
      <c r="A477">
        <v>385</v>
      </c>
      <c r="B477" s="6">
        <v>45205</v>
      </c>
      <c r="C477" s="5" t="s">
        <v>498</v>
      </c>
      <c r="D477" s="5" t="s">
        <v>2</v>
      </c>
      <c r="E477">
        <v>50</v>
      </c>
      <c r="F477" s="5" t="s">
        <v>374</v>
      </c>
      <c r="G477">
        <v>3</v>
      </c>
      <c r="H477">
        <v>500</v>
      </c>
      <c r="I477">
        <v>1500</v>
      </c>
      <c r="J477" t="s">
        <v>20</v>
      </c>
      <c r="K477" t="s">
        <v>1028</v>
      </c>
      <c r="L477" t="s">
        <v>1038</v>
      </c>
      <c r="M477" t="s">
        <v>1047</v>
      </c>
      <c r="N477">
        <v>10</v>
      </c>
      <c r="O477" t="s">
        <v>1049</v>
      </c>
    </row>
    <row r="478" spans="1:15" x14ac:dyDescent="0.25">
      <c r="A478">
        <v>386</v>
      </c>
      <c r="B478" s="6">
        <v>45287</v>
      </c>
      <c r="C478" s="5" t="s">
        <v>499</v>
      </c>
      <c r="D478" s="5" t="s">
        <v>1</v>
      </c>
      <c r="E478">
        <v>54</v>
      </c>
      <c r="F478" s="5" t="s">
        <v>374</v>
      </c>
      <c r="G478">
        <v>2</v>
      </c>
      <c r="H478">
        <v>300</v>
      </c>
      <c r="I478">
        <v>600</v>
      </c>
      <c r="J478" t="s">
        <v>20</v>
      </c>
      <c r="K478" t="s">
        <v>1028</v>
      </c>
      <c r="L478" t="s">
        <v>1038</v>
      </c>
      <c r="M478" t="s">
        <v>1047</v>
      </c>
      <c r="N478">
        <v>12</v>
      </c>
      <c r="O478" t="s">
        <v>1052</v>
      </c>
    </row>
    <row r="479" spans="1:15" x14ac:dyDescent="0.25">
      <c r="A479">
        <v>388</v>
      </c>
      <c r="B479" s="6">
        <v>45240</v>
      </c>
      <c r="C479" s="5" t="s">
        <v>500</v>
      </c>
      <c r="D479" s="5" t="s">
        <v>2</v>
      </c>
      <c r="E479">
        <v>50</v>
      </c>
      <c r="F479" s="5" t="s">
        <v>374</v>
      </c>
      <c r="G479">
        <v>1</v>
      </c>
      <c r="H479">
        <v>25</v>
      </c>
      <c r="I479">
        <v>25</v>
      </c>
      <c r="J479" t="s">
        <v>20</v>
      </c>
      <c r="K479" t="s">
        <v>1028</v>
      </c>
      <c r="L479" t="s">
        <v>1038</v>
      </c>
      <c r="M479" t="s">
        <v>1047</v>
      </c>
      <c r="N479">
        <v>11</v>
      </c>
      <c r="O479" t="s">
        <v>1048</v>
      </c>
    </row>
    <row r="480" spans="1:15" x14ac:dyDescent="0.25">
      <c r="A480">
        <v>390</v>
      </c>
      <c r="B480" s="6">
        <v>45197</v>
      </c>
      <c r="C480" s="5" t="s">
        <v>501</v>
      </c>
      <c r="D480" s="5" t="s">
        <v>2</v>
      </c>
      <c r="E480">
        <v>39</v>
      </c>
      <c r="F480" s="5" t="s">
        <v>374</v>
      </c>
      <c r="G480">
        <v>2</v>
      </c>
      <c r="H480">
        <v>50</v>
      </c>
      <c r="I480">
        <v>100</v>
      </c>
      <c r="J480" t="s">
        <v>20</v>
      </c>
      <c r="K480" t="s">
        <v>1028</v>
      </c>
      <c r="L480" t="s">
        <v>1038</v>
      </c>
      <c r="M480" t="s">
        <v>1033</v>
      </c>
      <c r="N480">
        <v>9</v>
      </c>
      <c r="O480" t="s">
        <v>1043</v>
      </c>
    </row>
    <row r="481" spans="1:15" x14ac:dyDescent="0.25">
      <c r="A481">
        <v>395</v>
      </c>
      <c r="B481" s="6">
        <v>45266</v>
      </c>
      <c r="C481" s="5" t="s">
        <v>502</v>
      </c>
      <c r="D481" s="5" t="s">
        <v>2</v>
      </c>
      <c r="E481">
        <v>50</v>
      </c>
      <c r="F481" s="5" t="s">
        <v>374</v>
      </c>
      <c r="G481">
        <v>2</v>
      </c>
      <c r="H481">
        <v>500</v>
      </c>
      <c r="I481">
        <v>1000</v>
      </c>
      <c r="J481" t="s">
        <v>20</v>
      </c>
      <c r="K481" t="s">
        <v>1028</v>
      </c>
      <c r="L481" t="s">
        <v>1038</v>
      </c>
      <c r="M481" t="s">
        <v>1047</v>
      </c>
      <c r="N481">
        <v>12</v>
      </c>
      <c r="O481" t="s">
        <v>1052</v>
      </c>
    </row>
    <row r="482" spans="1:15" x14ac:dyDescent="0.25">
      <c r="A482">
        <v>404</v>
      </c>
      <c r="B482" s="6">
        <v>45071</v>
      </c>
      <c r="C482" s="5" t="s">
        <v>503</v>
      </c>
      <c r="D482" s="5" t="s">
        <v>2</v>
      </c>
      <c r="E482">
        <v>46</v>
      </c>
      <c r="F482" s="5" t="s">
        <v>374</v>
      </c>
      <c r="G482">
        <v>2</v>
      </c>
      <c r="H482">
        <v>500</v>
      </c>
      <c r="I482">
        <v>1000</v>
      </c>
      <c r="J482" t="s">
        <v>20</v>
      </c>
      <c r="K482" t="s">
        <v>1028</v>
      </c>
      <c r="L482" t="s">
        <v>1038</v>
      </c>
      <c r="M482" t="s">
        <v>1041</v>
      </c>
      <c r="N482">
        <v>5</v>
      </c>
      <c r="O482" t="s">
        <v>1032</v>
      </c>
    </row>
    <row r="483" spans="1:15" x14ac:dyDescent="0.25">
      <c r="A483">
        <v>407</v>
      </c>
      <c r="B483" s="6">
        <v>45102</v>
      </c>
      <c r="C483" s="5" t="s">
        <v>504</v>
      </c>
      <c r="D483" s="5" t="s">
        <v>1</v>
      </c>
      <c r="E483">
        <v>46</v>
      </c>
      <c r="F483" s="5" t="s">
        <v>374</v>
      </c>
      <c r="G483">
        <v>3</v>
      </c>
      <c r="H483">
        <v>300</v>
      </c>
      <c r="I483">
        <v>900</v>
      </c>
      <c r="J483" t="s">
        <v>20</v>
      </c>
      <c r="K483" t="s">
        <v>1028</v>
      </c>
      <c r="L483" t="s">
        <v>1038</v>
      </c>
      <c r="M483" t="s">
        <v>1041</v>
      </c>
      <c r="N483">
        <v>6</v>
      </c>
      <c r="O483" t="s">
        <v>1050</v>
      </c>
    </row>
    <row r="484" spans="1:15" x14ac:dyDescent="0.25">
      <c r="A484">
        <v>409</v>
      </c>
      <c r="B484" s="6">
        <v>45278</v>
      </c>
      <c r="C484" s="5" t="s">
        <v>505</v>
      </c>
      <c r="D484" s="5" t="s">
        <v>1</v>
      </c>
      <c r="E484">
        <v>21</v>
      </c>
      <c r="F484" s="5" t="s">
        <v>374</v>
      </c>
      <c r="G484">
        <v>3</v>
      </c>
      <c r="H484">
        <v>300</v>
      </c>
      <c r="I484">
        <v>900</v>
      </c>
      <c r="J484" t="s">
        <v>22</v>
      </c>
      <c r="K484" t="s">
        <v>1029</v>
      </c>
      <c r="L484" t="s">
        <v>1038</v>
      </c>
      <c r="M484" t="s">
        <v>1047</v>
      </c>
      <c r="N484">
        <v>12</v>
      </c>
      <c r="O484" t="s">
        <v>1052</v>
      </c>
    </row>
    <row r="485" spans="1:15" x14ac:dyDescent="0.25">
      <c r="A485">
        <v>411</v>
      </c>
      <c r="B485" s="6">
        <v>45062</v>
      </c>
      <c r="C485" s="5" t="s">
        <v>506</v>
      </c>
      <c r="D485" s="5" t="s">
        <v>2</v>
      </c>
      <c r="E485">
        <v>62</v>
      </c>
      <c r="F485" s="5" t="s">
        <v>374</v>
      </c>
      <c r="G485">
        <v>4</v>
      </c>
      <c r="H485">
        <v>50</v>
      </c>
      <c r="I485">
        <v>200</v>
      </c>
      <c r="J485" t="s">
        <v>24</v>
      </c>
      <c r="K485" t="s">
        <v>1030</v>
      </c>
      <c r="L485" t="s">
        <v>1038</v>
      </c>
      <c r="M485" t="s">
        <v>1041</v>
      </c>
      <c r="N485">
        <v>5</v>
      </c>
      <c r="O485" t="s">
        <v>1032</v>
      </c>
    </row>
    <row r="486" spans="1:15" x14ac:dyDescent="0.25">
      <c r="A486">
        <v>412</v>
      </c>
      <c r="B486" s="6">
        <v>45185</v>
      </c>
      <c r="C486" s="5" t="s">
        <v>507</v>
      </c>
      <c r="D486" s="5" t="s">
        <v>1</v>
      </c>
      <c r="E486">
        <v>19</v>
      </c>
      <c r="F486" s="5" t="s">
        <v>374</v>
      </c>
      <c r="G486">
        <v>4</v>
      </c>
      <c r="H486">
        <v>500</v>
      </c>
      <c r="I486">
        <v>2000</v>
      </c>
      <c r="J486" t="s">
        <v>22</v>
      </c>
      <c r="K486" t="s">
        <v>1029</v>
      </c>
      <c r="L486" t="s">
        <v>1038</v>
      </c>
      <c r="M486" t="s">
        <v>1033</v>
      </c>
      <c r="N486">
        <v>9</v>
      </c>
      <c r="O486" t="s">
        <v>1043</v>
      </c>
    </row>
    <row r="487" spans="1:15" x14ac:dyDescent="0.25">
      <c r="A487">
        <v>416</v>
      </c>
      <c r="B487" s="6">
        <v>44974</v>
      </c>
      <c r="C487" s="5" t="s">
        <v>508</v>
      </c>
      <c r="D487" s="5" t="s">
        <v>2</v>
      </c>
      <c r="E487">
        <v>53</v>
      </c>
      <c r="F487" s="5" t="s">
        <v>374</v>
      </c>
      <c r="G487">
        <v>4</v>
      </c>
      <c r="H487">
        <v>500</v>
      </c>
      <c r="I487">
        <v>2000</v>
      </c>
      <c r="J487" t="s">
        <v>20</v>
      </c>
      <c r="K487" t="s">
        <v>1028</v>
      </c>
      <c r="L487" t="s">
        <v>1038</v>
      </c>
      <c r="M487" t="s">
        <v>1039</v>
      </c>
      <c r="N487">
        <v>2</v>
      </c>
      <c r="O487" t="s">
        <v>1044</v>
      </c>
    </row>
    <row r="488" spans="1:15" x14ac:dyDescent="0.25">
      <c r="A488">
        <v>417</v>
      </c>
      <c r="B488" s="6">
        <v>45251</v>
      </c>
      <c r="C488" s="5" t="s">
        <v>509</v>
      </c>
      <c r="D488" s="5" t="s">
        <v>2</v>
      </c>
      <c r="E488">
        <v>43</v>
      </c>
      <c r="F488" s="5" t="s">
        <v>374</v>
      </c>
      <c r="G488">
        <v>3</v>
      </c>
      <c r="H488">
        <v>300</v>
      </c>
      <c r="I488">
        <v>900</v>
      </c>
      <c r="J488" t="s">
        <v>20</v>
      </c>
      <c r="K488" t="s">
        <v>1028</v>
      </c>
      <c r="L488" t="s">
        <v>1038</v>
      </c>
      <c r="M488" t="s">
        <v>1047</v>
      </c>
      <c r="N488">
        <v>11</v>
      </c>
      <c r="O488" t="s">
        <v>1048</v>
      </c>
    </row>
    <row r="489" spans="1:15" x14ac:dyDescent="0.25">
      <c r="A489">
        <v>418</v>
      </c>
      <c r="B489" s="6">
        <v>45143</v>
      </c>
      <c r="C489" s="5" t="s">
        <v>510</v>
      </c>
      <c r="D489" s="5" t="s">
        <v>1</v>
      </c>
      <c r="E489">
        <v>60</v>
      </c>
      <c r="F489" s="5" t="s">
        <v>374</v>
      </c>
      <c r="G489">
        <v>2</v>
      </c>
      <c r="H489">
        <v>500</v>
      </c>
      <c r="I489">
        <v>1000</v>
      </c>
      <c r="J489" t="s">
        <v>24</v>
      </c>
      <c r="K489" t="s">
        <v>1030</v>
      </c>
      <c r="L489" t="s">
        <v>1038</v>
      </c>
      <c r="M489" t="s">
        <v>1033</v>
      </c>
      <c r="N489">
        <v>8</v>
      </c>
      <c r="O489" t="s">
        <v>1051</v>
      </c>
    </row>
    <row r="490" spans="1:15" x14ac:dyDescent="0.25">
      <c r="A490">
        <v>425</v>
      </c>
      <c r="B490" s="6">
        <v>45061</v>
      </c>
      <c r="C490" s="5" t="s">
        <v>511</v>
      </c>
      <c r="D490" s="5" t="s">
        <v>1</v>
      </c>
      <c r="E490">
        <v>55</v>
      </c>
      <c r="F490" s="5" t="s">
        <v>374</v>
      </c>
      <c r="G490">
        <v>4</v>
      </c>
      <c r="H490">
        <v>30</v>
      </c>
      <c r="I490">
        <v>120</v>
      </c>
      <c r="J490" t="s">
        <v>20</v>
      </c>
      <c r="K490" t="s">
        <v>1028</v>
      </c>
      <c r="L490" t="s">
        <v>1038</v>
      </c>
      <c r="M490" t="s">
        <v>1041</v>
      </c>
      <c r="N490">
        <v>5</v>
      </c>
      <c r="O490" t="s">
        <v>1032</v>
      </c>
    </row>
    <row r="491" spans="1:15" x14ac:dyDescent="0.25">
      <c r="A491">
        <v>426</v>
      </c>
      <c r="B491" s="6">
        <v>45009</v>
      </c>
      <c r="C491" s="5" t="s">
        <v>512</v>
      </c>
      <c r="D491" s="5" t="s">
        <v>2</v>
      </c>
      <c r="E491">
        <v>23</v>
      </c>
      <c r="F491" s="5" t="s">
        <v>374</v>
      </c>
      <c r="G491">
        <v>3</v>
      </c>
      <c r="H491">
        <v>50</v>
      </c>
      <c r="I491">
        <v>150</v>
      </c>
      <c r="J491" t="s">
        <v>22</v>
      </c>
      <c r="K491" t="s">
        <v>1029</v>
      </c>
      <c r="L491" t="s">
        <v>1038</v>
      </c>
      <c r="M491" t="s">
        <v>1039</v>
      </c>
      <c r="N491">
        <v>3</v>
      </c>
      <c r="O491" t="s">
        <v>1040</v>
      </c>
    </row>
    <row r="492" spans="1:15" x14ac:dyDescent="0.25">
      <c r="A492">
        <v>427</v>
      </c>
      <c r="B492" s="6">
        <v>45153</v>
      </c>
      <c r="C492" s="5" t="s">
        <v>513</v>
      </c>
      <c r="D492" s="5" t="s">
        <v>2</v>
      </c>
      <c r="E492">
        <v>25</v>
      </c>
      <c r="F492" s="5" t="s">
        <v>374</v>
      </c>
      <c r="G492">
        <v>1</v>
      </c>
      <c r="H492">
        <v>25</v>
      </c>
      <c r="I492">
        <v>25</v>
      </c>
      <c r="J492" t="s">
        <v>22</v>
      </c>
      <c r="K492" t="s">
        <v>1029</v>
      </c>
      <c r="L492" t="s">
        <v>1038</v>
      </c>
      <c r="M492" t="s">
        <v>1033</v>
      </c>
      <c r="N492">
        <v>8</v>
      </c>
      <c r="O492" t="s">
        <v>1051</v>
      </c>
    </row>
    <row r="493" spans="1:15" x14ac:dyDescent="0.25">
      <c r="A493">
        <v>428</v>
      </c>
      <c r="B493" s="6">
        <v>45209</v>
      </c>
      <c r="C493" s="5" t="s">
        <v>514</v>
      </c>
      <c r="D493" s="5" t="s">
        <v>1</v>
      </c>
      <c r="E493">
        <v>40</v>
      </c>
      <c r="F493" s="5" t="s">
        <v>374</v>
      </c>
      <c r="G493">
        <v>4</v>
      </c>
      <c r="H493">
        <v>50</v>
      </c>
      <c r="I493">
        <v>200</v>
      </c>
      <c r="J493" t="s">
        <v>20</v>
      </c>
      <c r="K493" t="s">
        <v>1028</v>
      </c>
      <c r="L493" t="s">
        <v>1038</v>
      </c>
      <c r="M493" t="s">
        <v>1047</v>
      </c>
      <c r="N493">
        <v>10</v>
      </c>
      <c r="O493" t="s">
        <v>1049</v>
      </c>
    </row>
    <row r="494" spans="1:15" x14ac:dyDescent="0.25">
      <c r="A494">
        <v>429</v>
      </c>
      <c r="B494" s="6">
        <v>45288</v>
      </c>
      <c r="C494" s="5" t="s">
        <v>515</v>
      </c>
      <c r="D494" s="5" t="s">
        <v>2</v>
      </c>
      <c r="E494">
        <v>64</v>
      </c>
      <c r="F494" s="5" t="s">
        <v>374</v>
      </c>
      <c r="G494">
        <v>2</v>
      </c>
      <c r="H494">
        <v>25</v>
      </c>
      <c r="I494">
        <v>50</v>
      </c>
      <c r="J494" t="s">
        <v>24</v>
      </c>
      <c r="K494" t="s">
        <v>1030</v>
      </c>
      <c r="L494" t="s">
        <v>1038</v>
      </c>
      <c r="M494" t="s">
        <v>1047</v>
      </c>
      <c r="N494">
        <v>12</v>
      </c>
      <c r="O494" t="s">
        <v>1052</v>
      </c>
    </row>
    <row r="495" spans="1:15" x14ac:dyDescent="0.25">
      <c r="A495">
        <v>430</v>
      </c>
      <c r="B495" s="6">
        <v>45145</v>
      </c>
      <c r="C495" s="5" t="s">
        <v>516</v>
      </c>
      <c r="D495" s="5" t="s">
        <v>1</v>
      </c>
      <c r="E495">
        <v>43</v>
      </c>
      <c r="F495" s="5" t="s">
        <v>374</v>
      </c>
      <c r="G495">
        <v>3</v>
      </c>
      <c r="H495">
        <v>300</v>
      </c>
      <c r="I495">
        <v>900</v>
      </c>
      <c r="J495" t="s">
        <v>20</v>
      </c>
      <c r="K495" t="s">
        <v>1028</v>
      </c>
      <c r="L495" t="s">
        <v>1038</v>
      </c>
      <c r="M495" t="s">
        <v>1033</v>
      </c>
      <c r="N495">
        <v>8</v>
      </c>
      <c r="O495" t="s">
        <v>1051</v>
      </c>
    </row>
    <row r="496" spans="1:15" x14ac:dyDescent="0.25">
      <c r="A496">
        <v>431</v>
      </c>
      <c r="B496" s="6">
        <v>45214</v>
      </c>
      <c r="C496" s="5" t="s">
        <v>517</v>
      </c>
      <c r="D496" s="5" t="s">
        <v>2</v>
      </c>
      <c r="E496">
        <v>63</v>
      </c>
      <c r="F496" s="5" t="s">
        <v>374</v>
      </c>
      <c r="G496">
        <v>4</v>
      </c>
      <c r="H496">
        <v>300</v>
      </c>
      <c r="I496">
        <v>1200</v>
      </c>
      <c r="J496" t="s">
        <v>24</v>
      </c>
      <c r="K496" t="s">
        <v>1030</v>
      </c>
      <c r="L496" t="s">
        <v>1038</v>
      </c>
      <c r="M496" t="s">
        <v>1047</v>
      </c>
      <c r="N496">
        <v>10</v>
      </c>
      <c r="O496" t="s">
        <v>1049</v>
      </c>
    </row>
    <row r="497" spans="1:15" x14ac:dyDescent="0.25">
      <c r="A497">
        <v>432</v>
      </c>
      <c r="B497" s="6">
        <v>44931</v>
      </c>
      <c r="C497" s="5" t="s">
        <v>518</v>
      </c>
      <c r="D497" s="5" t="s">
        <v>1</v>
      </c>
      <c r="E497">
        <v>60</v>
      </c>
      <c r="F497" s="5" t="s">
        <v>374</v>
      </c>
      <c r="G497">
        <v>2</v>
      </c>
      <c r="H497">
        <v>500</v>
      </c>
      <c r="I497">
        <v>1000</v>
      </c>
      <c r="J497" t="s">
        <v>24</v>
      </c>
      <c r="K497" t="s">
        <v>1030</v>
      </c>
      <c r="L497" t="s">
        <v>1038</v>
      </c>
      <c r="M497" t="s">
        <v>1039</v>
      </c>
      <c r="N497">
        <v>1</v>
      </c>
      <c r="O497" t="s">
        <v>1045</v>
      </c>
    </row>
    <row r="498" spans="1:15" x14ac:dyDescent="0.25">
      <c r="A498">
        <v>434</v>
      </c>
      <c r="B498" s="6">
        <v>44965</v>
      </c>
      <c r="C498" s="5" t="s">
        <v>519</v>
      </c>
      <c r="D498" s="5" t="s">
        <v>1</v>
      </c>
      <c r="E498">
        <v>43</v>
      </c>
      <c r="F498" s="5" t="s">
        <v>374</v>
      </c>
      <c r="G498">
        <v>2</v>
      </c>
      <c r="H498">
        <v>25</v>
      </c>
      <c r="I498">
        <v>50</v>
      </c>
      <c r="J498" t="s">
        <v>20</v>
      </c>
      <c r="K498" t="s">
        <v>1028</v>
      </c>
      <c r="L498" t="s">
        <v>1038</v>
      </c>
      <c r="M498" t="s">
        <v>1039</v>
      </c>
      <c r="N498">
        <v>2</v>
      </c>
      <c r="O498" t="s">
        <v>1044</v>
      </c>
    </row>
    <row r="499" spans="1:15" x14ac:dyDescent="0.25">
      <c r="A499">
        <v>437</v>
      </c>
      <c r="B499" s="6">
        <v>45206</v>
      </c>
      <c r="C499" s="5" t="s">
        <v>520</v>
      </c>
      <c r="D499" s="5" t="s">
        <v>1</v>
      </c>
      <c r="E499">
        <v>35</v>
      </c>
      <c r="F499" s="5" t="s">
        <v>374</v>
      </c>
      <c r="G499">
        <v>4</v>
      </c>
      <c r="H499">
        <v>300</v>
      </c>
      <c r="I499">
        <v>1200</v>
      </c>
      <c r="J499" t="s">
        <v>20</v>
      </c>
      <c r="K499" t="s">
        <v>1028</v>
      </c>
      <c r="L499" t="s">
        <v>1038</v>
      </c>
      <c r="M499" t="s">
        <v>1047</v>
      </c>
      <c r="N499">
        <v>10</v>
      </c>
      <c r="O499" t="s">
        <v>1049</v>
      </c>
    </row>
    <row r="500" spans="1:15" x14ac:dyDescent="0.25">
      <c r="A500">
        <v>445</v>
      </c>
      <c r="B500" s="6">
        <v>44948</v>
      </c>
      <c r="C500" s="5" t="s">
        <v>521</v>
      </c>
      <c r="D500" s="5" t="s">
        <v>1</v>
      </c>
      <c r="E500">
        <v>53</v>
      </c>
      <c r="F500" s="5" t="s">
        <v>374</v>
      </c>
      <c r="G500">
        <v>1</v>
      </c>
      <c r="H500">
        <v>300</v>
      </c>
      <c r="I500">
        <v>300</v>
      </c>
      <c r="J500" t="s">
        <v>20</v>
      </c>
      <c r="K500" t="s">
        <v>1028</v>
      </c>
      <c r="L500" t="s">
        <v>1038</v>
      </c>
      <c r="M500" t="s">
        <v>1039</v>
      </c>
      <c r="N500">
        <v>1</v>
      </c>
      <c r="O500" t="s">
        <v>1045</v>
      </c>
    </row>
    <row r="501" spans="1:15" x14ac:dyDescent="0.25">
      <c r="A501">
        <v>446</v>
      </c>
      <c r="B501" s="6">
        <v>45084</v>
      </c>
      <c r="C501" s="5" t="s">
        <v>522</v>
      </c>
      <c r="D501" s="5" t="s">
        <v>2</v>
      </c>
      <c r="E501">
        <v>21</v>
      </c>
      <c r="F501" s="5" t="s">
        <v>374</v>
      </c>
      <c r="G501">
        <v>1</v>
      </c>
      <c r="H501">
        <v>50</v>
      </c>
      <c r="I501">
        <v>50</v>
      </c>
      <c r="J501" t="s">
        <v>22</v>
      </c>
      <c r="K501" t="s">
        <v>1029</v>
      </c>
      <c r="L501" t="s">
        <v>1038</v>
      </c>
      <c r="M501" t="s">
        <v>1041</v>
      </c>
      <c r="N501">
        <v>6</v>
      </c>
      <c r="O501" t="s">
        <v>1050</v>
      </c>
    </row>
    <row r="502" spans="1:15" x14ac:dyDescent="0.25">
      <c r="A502">
        <v>449</v>
      </c>
      <c r="B502" s="6">
        <v>45110</v>
      </c>
      <c r="C502" s="5" t="s">
        <v>523</v>
      </c>
      <c r="D502" s="5" t="s">
        <v>2</v>
      </c>
      <c r="E502">
        <v>25</v>
      </c>
      <c r="F502" s="5" t="s">
        <v>374</v>
      </c>
      <c r="G502">
        <v>4</v>
      </c>
      <c r="H502">
        <v>50</v>
      </c>
      <c r="I502">
        <v>200</v>
      </c>
      <c r="J502" t="s">
        <v>22</v>
      </c>
      <c r="K502" t="s">
        <v>1029</v>
      </c>
      <c r="L502" t="s">
        <v>1038</v>
      </c>
      <c r="M502" t="s">
        <v>1033</v>
      </c>
      <c r="N502">
        <v>7</v>
      </c>
      <c r="O502" t="s">
        <v>1046</v>
      </c>
    </row>
    <row r="503" spans="1:15" x14ac:dyDescent="0.25">
      <c r="A503">
        <v>451</v>
      </c>
      <c r="B503" s="6">
        <v>45276</v>
      </c>
      <c r="C503" s="5" t="s">
        <v>524</v>
      </c>
      <c r="D503" s="5" t="s">
        <v>1</v>
      </c>
      <c r="E503">
        <v>45</v>
      </c>
      <c r="F503" s="5" t="s">
        <v>374</v>
      </c>
      <c r="G503">
        <v>1</v>
      </c>
      <c r="H503">
        <v>30</v>
      </c>
      <c r="I503">
        <v>30</v>
      </c>
      <c r="J503" t="s">
        <v>20</v>
      </c>
      <c r="K503" t="s">
        <v>1028</v>
      </c>
      <c r="L503" t="s">
        <v>1038</v>
      </c>
      <c r="M503" t="s">
        <v>1047</v>
      </c>
      <c r="N503">
        <v>12</v>
      </c>
      <c r="O503" t="s">
        <v>1052</v>
      </c>
    </row>
    <row r="504" spans="1:15" x14ac:dyDescent="0.25">
      <c r="A504">
        <v>455</v>
      </c>
      <c r="B504" s="6">
        <v>45108</v>
      </c>
      <c r="C504" s="5" t="s">
        <v>525</v>
      </c>
      <c r="D504" s="5" t="s">
        <v>2</v>
      </c>
      <c r="E504">
        <v>31</v>
      </c>
      <c r="F504" s="5" t="s">
        <v>374</v>
      </c>
      <c r="G504">
        <v>4</v>
      </c>
      <c r="H504">
        <v>25</v>
      </c>
      <c r="I504">
        <v>100</v>
      </c>
      <c r="J504" t="s">
        <v>20</v>
      </c>
      <c r="K504" t="s">
        <v>1028</v>
      </c>
      <c r="L504" t="s">
        <v>1038</v>
      </c>
      <c r="M504" t="s">
        <v>1033</v>
      </c>
      <c r="N504">
        <v>7</v>
      </c>
      <c r="O504" t="s">
        <v>1046</v>
      </c>
    </row>
    <row r="505" spans="1:15" x14ac:dyDescent="0.25">
      <c r="A505">
        <v>456</v>
      </c>
      <c r="B505" s="6">
        <v>45213</v>
      </c>
      <c r="C505" s="5" t="s">
        <v>526</v>
      </c>
      <c r="D505" s="5" t="s">
        <v>2</v>
      </c>
      <c r="E505">
        <v>57</v>
      </c>
      <c r="F505" s="5" t="s">
        <v>374</v>
      </c>
      <c r="G505">
        <v>2</v>
      </c>
      <c r="H505">
        <v>30</v>
      </c>
      <c r="I505">
        <v>60</v>
      </c>
      <c r="J505" t="s">
        <v>24</v>
      </c>
      <c r="K505" t="s">
        <v>1030</v>
      </c>
      <c r="L505" t="s">
        <v>1038</v>
      </c>
      <c r="M505" t="s">
        <v>1047</v>
      </c>
      <c r="N505">
        <v>10</v>
      </c>
      <c r="O505" t="s">
        <v>1049</v>
      </c>
    </row>
    <row r="506" spans="1:15" x14ac:dyDescent="0.25">
      <c r="A506">
        <v>458</v>
      </c>
      <c r="B506" s="6">
        <v>45244</v>
      </c>
      <c r="C506" s="5" t="s">
        <v>527</v>
      </c>
      <c r="D506" s="5" t="s">
        <v>1</v>
      </c>
      <c r="E506">
        <v>39</v>
      </c>
      <c r="F506" s="5" t="s">
        <v>374</v>
      </c>
      <c r="G506">
        <v>4</v>
      </c>
      <c r="H506">
        <v>25</v>
      </c>
      <c r="I506">
        <v>100</v>
      </c>
      <c r="J506" t="s">
        <v>20</v>
      </c>
      <c r="K506" t="s">
        <v>1028</v>
      </c>
      <c r="L506" t="s">
        <v>1038</v>
      </c>
      <c r="M506" t="s">
        <v>1047</v>
      </c>
      <c r="N506">
        <v>11</v>
      </c>
      <c r="O506" t="s">
        <v>1048</v>
      </c>
    </row>
    <row r="507" spans="1:15" x14ac:dyDescent="0.25">
      <c r="A507">
        <v>462</v>
      </c>
      <c r="B507" s="6">
        <v>45017</v>
      </c>
      <c r="C507" s="5" t="s">
        <v>528</v>
      </c>
      <c r="D507" s="5" t="s">
        <v>2</v>
      </c>
      <c r="E507">
        <v>63</v>
      </c>
      <c r="F507" s="5" t="s">
        <v>374</v>
      </c>
      <c r="G507">
        <v>4</v>
      </c>
      <c r="H507">
        <v>300</v>
      </c>
      <c r="I507">
        <v>1200</v>
      </c>
      <c r="J507" t="s">
        <v>24</v>
      </c>
      <c r="K507" t="s">
        <v>1030</v>
      </c>
      <c r="L507" t="s">
        <v>1038</v>
      </c>
      <c r="M507" t="s">
        <v>1041</v>
      </c>
      <c r="N507">
        <v>4</v>
      </c>
      <c r="O507" t="s">
        <v>1042</v>
      </c>
    </row>
    <row r="508" spans="1:15" x14ac:dyDescent="0.25">
      <c r="A508">
        <v>464</v>
      </c>
      <c r="B508" s="6">
        <v>44939</v>
      </c>
      <c r="C508" s="5" t="s">
        <v>529</v>
      </c>
      <c r="D508" s="5" t="s">
        <v>2</v>
      </c>
      <c r="E508">
        <v>38</v>
      </c>
      <c r="F508" s="5" t="s">
        <v>374</v>
      </c>
      <c r="G508">
        <v>2</v>
      </c>
      <c r="H508">
        <v>300</v>
      </c>
      <c r="I508">
        <v>600</v>
      </c>
      <c r="J508" t="s">
        <v>20</v>
      </c>
      <c r="K508" t="s">
        <v>1028</v>
      </c>
      <c r="L508" t="s">
        <v>1038</v>
      </c>
      <c r="M508" t="s">
        <v>1039</v>
      </c>
      <c r="N508">
        <v>1</v>
      </c>
      <c r="O508" t="s">
        <v>1045</v>
      </c>
    </row>
    <row r="509" spans="1:15" x14ac:dyDescent="0.25">
      <c r="A509">
        <v>465</v>
      </c>
      <c r="B509" s="6">
        <v>45018</v>
      </c>
      <c r="C509" s="5" t="s">
        <v>530</v>
      </c>
      <c r="D509" s="5" t="s">
        <v>1</v>
      </c>
      <c r="E509">
        <v>43</v>
      </c>
      <c r="F509" s="5" t="s">
        <v>374</v>
      </c>
      <c r="G509">
        <v>3</v>
      </c>
      <c r="H509">
        <v>50</v>
      </c>
      <c r="I509">
        <v>150</v>
      </c>
      <c r="J509" t="s">
        <v>20</v>
      </c>
      <c r="K509" t="s">
        <v>1028</v>
      </c>
      <c r="L509" t="s">
        <v>1038</v>
      </c>
      <c r="M509" t="s">
        <v>1041</v>
      </c>
      <c r="N509">
        <v>4</v>
      </c>
      <c r="O509" t="s">
        <v>1042</v>
      </c>
    </row>
    <row r="510" spans="1:15" x14ac:dyDescent="0.25">
      <c r="A510">
        <v>466</v>
      </c>
      <c r="B510" s="6">
        <v>45097</v>
      </c>
      <c r="C510" s="5" t="s">
        <v>531</v>
      </c>
      <c r="D510" s="5" t="s">
        <v>2</v>
      </c>
      <c r="E510">
        <v>63</v>
      </c>
      <c r="F510" s="5" t="s">
        <v>374</v>
      </c>
      <c r="G510">
        <v>4</v>
      </c>
      <c r="H510">
        <v>25</v>
      </c>
      <c r="I510">
        <v>100</v>
      </c>
      <c r="J510" t="s">
        <v>24</v>
      </c>
      <c r="K510" t="s">
        <v>1030</v>
      </c>
      <c r="L510" t="s">
        <v>1038</v>
      </c>
      <c r="M510" t="s">
        <v>1041</v>
      </c>
      <c r="N510">
        <v>6</v>
      </c>
      <c r="O510" t="s">
        <v>1050</v>
      </c>
    </row>
    <row r="511" spans="1:15" x14ac:dyDescent="0.25">
      <c r="A511">
        <v>467</v>
      </c>
      <c r="B511" s="6">
        <v>45137</v>
      </c>
      <c r="C511" s="5" t="s">
        <v>532</v>
      </c>
      <c r="D511" s="5" t="s">
        <v>1</v>
      </c>
      <c r="E511">
        <v>53</v>
      </c>
      <c r="F511" s="5" t="s">
        <v>374</v>
      </c>
      <c r="G511">
        <v>3</v>
      </c>
      <c r="H511">
        <v>50</v>
      </c>
      <c r="I511">
        <v>150</v>
      </c>
      <c r="J511" t="s">
        <v>20</v>
      </c>
      <c r="K511" t="s">
        <v>1028</v>
      </c>
      <c r="L511" t="s">
        <v>1038</v>
      </c>
      <c r="M511" t="s">
        <v>1033</v>
      </c>
      <c r="N511">
        <v>7</v>
      </c>
      <c r="O511" t="s">
        <v>1046</v>
      </c>
    </row>
    <row r="512" spans="1:15" x14ac:dyDescent="0.25">
      <c r="A512">
        <v>468</v>
      </c>
      <c r="B512" s="6">
        <v>45269</v>
      </c>
      <c r="C512" s="5" t="s">
        <v>533</v>
      </c>
      <c r="D512" s="5" t="s">
        <v>2</v>
      </c>
      <c r="E512">
        <v>40</v>
      </c>
      <c r="F512" s="5" t="s">
        <v>374</v>
      </c>
      <c r="G512">
        <v>1</v>
      </c>
      <c r="H512">
        <v>25</v>
      </c>
      <c r="I512">
        <v>25</v>
      </c>
      <c r="J512" t="s">
        <v>20</v>
      </c>
      <c r="K512" t="s">
        <v>1028</v>
      </c>
      <c r="L512" t="s">
        <v>1038</v>
      </c>
      <c r="M512" t="s">
        <v>1047</v>
      </c>
      <c r="N512">
        <v>12</v>
      </c>
      <c r="O512" t="s">
        <v>1052</v>
      </c>
    </row>
    <row r="513" spans="1:15" x14ac:dyDescent="0.25">
      <c r="A513">
        <v>479</v>
      </c>
      <c r="B513" s="6">
        <v>45162</v>
      </c>
      <c r="C513" s="5" t="s">
        <v>534</v>
      </c>
      <c r="D513" s="5" t="s">
        <v>2</v>
      </c>
      <c r="E513">
        <v>52</v>
      </c>
      <c r="F513" s="5" t="s">
        <v>374</v>
      </c>
      <c r="G513">
        <v>4</v>
      </c>
      <c r="H513">
        <v>300</v>
      </c>
      <c r="I513">
        <v>1200</v>
      </c>
      <c r="J513" t="s">
        <v>20</v>
      </c>
      <c r="K513" t="s">
        <v>1028</v>
      </c>
      <c r="L513" t="s">
        <v>1038</v>
      </c>
      <c r="M513" t="s">
        <v>1033</v>
      </c>
      <c r="N513">
        <v>8</v>
      </c>
      <c r="O513" t="s">
        <v>1051</v>
      </c>
    </row>
    <row r="514" spans="1:15" x14ac:dyDescent="0.25">
      <c r="A514">
        <v>481</v>
      </c>
      <c r="B514" s="6">
        <v>45083</v>
      </c>
      <c r="C514" s="5" t="s">
        <v>535</v>
      </c>
      <c r="D514" s="5" t="s">
        <v>1</v>
      </c>
      <c r="E514">
        <v>43</v>
      </c>
      <c r="F514" s="5" t="s">
        <v>374</v>
      </c>
      <c r="G514">
        <v>4</v>
      </c>
      <c r="H514">
        <v>300</v>
      </c>
      <c r="I514">
        <v>1200</v>
      </c>
      <c r="J514" t="s">
        <v>20</v>
      </c>
      <c r="K514" t="s">
        <v>1028</v>
      </c>
      <c r="L514" t="s">
        <v>1038</v>
      </c>
      <c r="M514" t="s">
        <v>1041</v>
      </c>
      <c r="N514">
        <v>6</v>
      </c>
      <c r="O514" t="s">
        <v>1050</v>
      </c>
    </row>
    <row r="515" spans="1:15" x14ac:dyDescent="0.25">
      <c r="A515">
        <v>485</v>
      </c>
      <c r="B515" s="6">
        <v>45264</v>
      </c>
      <c r="C515" s="5" t="s">
        <v>536</v>
      </c>
      <c r="D515" s="5" t="s">
        <v>2</v>
      </c>
      <c r="E515">
        <v>24</v>
      </c>
      <c r="F515" s="5" t="s">
        <v>374</v>
      </c>
      <c r="G515">
        <v>1</v>
      </c>
      <c r="H515">
        <v>30</v>
      </c>
      <c r="I515">
        <v>30</v>
      </c>
      <c r="J515" t="s">
        <v>22</v>
      </c>
      <c r="K515" t="s">
        <v>1029</v>
      </c>
      <c r="L515" t="s">
        <v>1038</v>
      </c>
      <c r="M515" t="s">
        <v>1047</v>
      </c>
      <c r="N515">
        <v>12</v>
      </c>
      <c r="O515" t="s">
        <v>1052</v>
      </c>
    </row>
    <row r="516" spans="1:15" x14ac:dyDescent="0.25">
      <c r="A516">
        <v>486</v>
      </c>
      <c r="B516" s="6">
        <v>45025</v>
      </c>
      <c r="C516" s="5" t="s">
        <v>537</v>
      </c>
      <c r="D516" s="5" t="s">
        <v>1</v>
      </c>
      <c r="E516">
        <v>35</v>
      </c>
      <c r="F516" s="5" t="s">
        <v>374</v>
      </c>
      <c r="G516">
        <v>1</v>
      </c>
      <c r="H516">
        <v>25</v>
      </c>
      <c r="I516">
        <v>25</v>
      </c>
      <c r="J516" t="s">
        <v>20</v>
      </c>
      <c r="K516" t="s">
        <v>1028</v>
      </c>
      <c r="L516" t="s">
        <v>1038</v>
      </c>
      <c r="M516" t="s">
        <v>1041</v>
      </c>
      <c r="N516">
        <v>4</v>
      </c>
      <c r="O516" t="s">
        <v>1042</v>
      </c>
    </row>
    <row r="517" spans="1:15" x14ac:dyDescent="0.25">
      <c r="A517">
        <v>488</v>
      </c>
      <c r="B517" s="6">
        <v>45095</v>
      </c>
      <c r="C517" s="5" t="s">
        <v>538</v>
      </c>
      <c r="D517" s="5" t="s">
        <v>1</v>
      </c>
      <c r="E517">
        <v>51</v>
      </c>
      <c r="F517" s="5" t="s">
        <v>374</v>
      </c>
      <c r="G517">
        <v>3</v>
      </c>
      <c r="H517">
        <v>300</v>
      </c>
      <c r="I517">
        <v>900</v>
      </c>
      <c r="J517" t="s">
        <v>20</v>
      </c>
      <c r="K517" t="s">
        <v>1028</v>
      </c>
      <c r="L517" t="s">
        <v>1038</v>
      </c>
      <c r="M517" t="s">
        <v>1041</v>
      </c>
      <c r="N517">
        <v>6</v>
      </c>
      <c r="O517" t="s">
        <v>1050</v>
      </c>
    </row>
    <row r="518" spans="1:15" x14ac:dyDescent="0.25">
      <c r="A518">
        <v>489</v>
      </c>
      <c r="B518" s="6">
        <v>45069</v>
      </c>
      <c r="C518" s="5" t="s">
        <v>539</v>
      </c>
      <c r="D518" s="5" t="s">
        <v>2</v>
      </c>
      <c r="E518">
        <v>44</v>
      </c>
      <c r="F518" s="5" t="s">
        <v>374</v>
      </c>
      <c r="G518">
        <v>1</v>
      </c>
      <c r="H518">
        <v>30</v>
      </c>
      <c r="I518">
        <v>30</v>
      </c>
      <c r="J518" t="s">
        <v>20</v>
      </c>
      <c r="K518" t="s">
        <v>1028</v>
      </c>
      <c r="L518" t="s">
        <v>1038</v>
      </c>
      <c r="M518" t="s">
        <v>1041</v>
      </c>
      <c r="N518">
        <v>5</v>
      </c>
      <c r="O518" t="s">
        <v>1032</v>
      </c>
    </row>
    <row r="519" spans="1:15" x14ac:dyDescent="0.25">
      <c r="A519">
        <v>491</v>
      </c>
      <c r="B519" s="6">
        <v>45069</v>
      </c>
      <c r="C519" s="5" t="s">
        <v>540</v>
      </c>
      <c r="D519" s="5" t="s">
        <v>1</v>
      </c>
      <c r="E519">
        <v>60</v>
      </c>
      <c r="F519" s="5" t="s">
        <v>374</v>
      </c>
      <c r="G519">
        <v>3</v>
      </c>
      <c r="H519">
        <v>300</v>
      </c>
      <c r="I519">
        <v>900</v>
      </c>
      <c r="J519" t="s">
        <v>24</v>
      </c>
      <c r="K519" t="s">
        <v>1030</v>
      </c>
      <c r="L519" t="s">
        <v>1038</v>
      </c>
      <c r="M519" t="s">
        <v>1041</v>
      </c>
      <c r="N519">
        <v>5</v>
      </c>
      <c r="O519" t="s">
        <v>1032</v>
      </c>
    </row>
    <row r="520" spans="1:15" x14ac:dyDescent="0.25">
      <c r="A520">
        <v>501</v>
      </c>
      <c r="B520" s="6">
        <v>45060</v>
      </c>
      <c r="C520" s="5" t="s">
        <v>541</v>
      </c>
      <c r="D520" s="5" t="s">
        <v>2</v>
      </c>
      <c r="E520">
        <v>39</v>
      </c>
      <c r="F520" s="5" t="s">
        <v>374</v>
      </c>
      <c r="G520">
        <v>2</v>
      </c>
      <c r="H520">
        <v>30</v>
      </c>
      <c r="I520">
        <v>60</v>
      </c>
      <c r="J520" t="s">
        <v>20</v>
      </c>
      <c r="K520" t="s">
        <v>1028</v>
      </c>
      <c r="L520" t="s">
        <v>1038</v>
      </c>
      <c r="M520" t="s">
        <v>1041</v>
      </c>
      <c r="N520">
        <v>5</v>
      </c>
      <c r="O520" t="s">
        <v>1032</v>
      </c>
    </row>
    <row r="521" spans="1:15" x14ac:dyDescent="0.25">
      <c r="A521">
        <v>502</v>
      </c>
      <c r="B521" s="6">
        <v>45018</v>
      </c>
      <c r="C521" s="5" t="s">
        <v>542</v>
      </c>
      <c r="D521" s="5" t="s">
        <v>2</v>
      </c>
      <c r="E521">
        <v>43</v>
      </c>
      <c r="F521" s="5" t="s">
        <v>374</v>
      </c>
      <c r="G521">
        <v>3</v>
      </c>
      <c r="H521">
        <v>50</v>
      </c>
      <c r="I521">
        <v>150</v>
      </c>
      <c r="J521" t="s">
        <v>20</v>
      </c>
      <c r="K521" t="s">
        <v>1028</v>
      </c>
      <c r="L521" t="s">
        <v>1038</v>
      </c>
      <c r="M521" t="s">
        <v>1041</v>
      </c>
      <c r="N521">
        <v>4</v>
      </c>
      <c r="O521" t="s">
        <v>1042</v>
      </c>
    </row>
    <row r="522" spans="1:15" x14ac:dyDescent="0.25">
      <c r="A522">
        <v>507</v>
      </c>
      <c r="B522" s="6">
        <v>45232</v>
      </c>
      <c r="C522" s="5" t="s">
        <v>543</v>
      </c>
      <c r="D522" s="5" t="s">
        <v>1</v>
      </c>
      <c r="E522">
        <v>37</v>
      </c>
      <c r="F522" s="5" t="s">
        <v>374</v>
      </c>
      <c r="G522">
        <v>3</v>
      </c>
      <c r="H522">
        <v>500</v>
      </c>
      <c r="I522">
        <v>1500</v>
      </c>
      <c r="J522" t="s">
        <v>20</v>
      </c>
      <c r="K522" t="s">
        <v>1028</v>
      </c>
      <c r="L522" t="s">
        <v>1038</v>
      </c>
      <c r="M522" t="s">
        <v>1047</v>
      </c>
      <c r="N522">
        <v>11</v>
      </c>
      <c r="O522" t="s">
        <v>1048</v>
      </c>
    </row>
    <row r="523" spans="1:15" x14ac:dyDescent="0.25">
      <c r="A523">
        <v>509</v>
      </c>
      <c r="B523" s="6">
        <v>45103</v>
      </c>
      <c r="C523" s="5" t="s">
        <v>544</v>
      </c>
      <c r="D523" s="5" t="s">
        <v>1</v>
      </c>
      <c r="E523">
        <v>37</v>
      </c>
      <c r="F523" s="5" t="s">
        <v>374</v>
      </c>
      <c r="G523">
        <v>3</v>
      </c>
      <c r="H523">
        <v>300</v>
      </c>
      <c r="I523">
        <v>900</v>
      </c>
      <c r="J523" t="s">
        <v>20</v>
      </c>
      <c r="K523" t="s">
        <v>1028</v>
      </c>
      <c r="L523" t="s">
        <v>1038</v>
      </c>
      <c r="M523" t="s">
        <v>1041</v>
      </c>
      <c r="N523">
        <v>6</v>
      </c>
      <c r="O523" t="s">
        <v>1050</v>
      </c>
    </row>
    <row r="524" spans="1:15" x14ac:dyDescent="0.25">
      <c r="A524">
        <v>513</v>
      </c>
      <c r="B524" s="6">
        <v>45188</v>
      </c>
      <c r="C524" s="5" t="s">
        <v>545</v>
      </c>
      <c r="D524" s="5" t="s">
        <v>2</v>
      </c>
      <c r="E524">
        <v>24</v>
      </c>
      <c r="F524" s="5" t="s">
        <v>374</v>
      </c>
      <c r="G524">
        <v>4</v>
      </c>
      <c r="H524">
        <v>25</v>
      </c>
      <c r="I524">
        <v>100</v>
      </c>
      <c r="J524" t="s">
        <v>22</v>
      </c>
      <c r="K524" t="s">
        <v>1029</v>
      </c>
      <c r="L524" t="s">
        <v>1038</v>
      </c>
      <c r="M524" t="s">
        <v>1033</v>
      </c>
      <c r="N524">
        <v>9</v>
      </c>
      <c r="O524" t="s">
        <v>1043</v>
      </c>
    </row>
    <row r="525" spans="1:15" x14ac:dyDescent="0.25">
      <c r="A525">
        <v>514</v>
      </c>
      <c r="B525" s="6">
        <v>44986</v>
      </c>
      <c r="C525" s="5" t="s">
        <v>546</v>
      </c>
      <c r="D525" s="5" t="s">
        <v>1</v>
      </c>
      <c r="E525">
        <v>18</v>
      </c>
      <c r="F525" s="5" t="s">
        <v>374</v>
      </c>
      <c r="G525">
        <v>1</v>
      </c>
      <c r="H525">
        <v>300</v>
      </c>
      <c r="I525">
        <v>300</v>
      </c>
      <c r="J525" t="s">
        <v>22</v>
      </c>
      <c r="K525" t="s">
        <v>1029</v>
      </c>
      <c r="L525" t="s">
        <v>1038</v>
      </c>
      <c r="M525" t="s">
        <v>1039</v>
      </c>
      <c r="N525">
        <v>3</v>
      </c>
      <c r="O525" t="s">
        <v>1040</v>
      </c>
    </row>
    <row r="526" spans="1:15" x14ac:dyDescent="0.25">
      <c r="A526">
        <v>519</v>
      </c>
      <c r="B526" s="6">
        <v>44949</v>
      </c>
      <c r="C526" s="5" t="s">
        <v>547</v>
      </c>
      <c r="D526" s="5" t="s">
        <v>1</v>
      </c>
      <c r="E526">
        <v>36</v>
      </c>
      <c r="F526" s="5" t="s">
        <v>374</v>
      </c>
      <c r="G526">
        <v>4</v>
      </c>
      <c r="H526">
        <v>30</v>
      </c>
      <c r="I526">
        <v>120</v>
      </c>
      <c r="J526" t="s">
        <v>20</v>
      </c>
      <c r="K526" t="s">
        <v>1028</v>
      </c>
      <c r="L526" t="s">
        <v>1038</v>
      </c>
      <c r="M526" t="s">
        <v>1039</v>
      </c>
      <c r="N526">
        <v>1</v>
      </c>
      <c r="O526" t="s">
        <v>1045</v>
      </c>
    </row>
    <row r="527" spans="1:15" x14ac:dyDescent="0.25">
      <c r="A527">
        <v>520</v>
      </c>
      <c r="B527" s="6">
        <v>45289</v>
      </c>
      <c r="C527" s="5" t="s">
        <v>548</v>
      </c>
      <c r="D527" s="5" t="s">
        <v>1</v>
      </c>
      <c r="E527">
        <v>49</v>
      </c>
      <c r="F527" s="5" t="s">
        <v>374</v>
      </c>
      <c r="G527">
        <v>4</v>
      </c>
      <c r="H527">
        <v>25</v>
      </c>
      <c r="I527">
        <v>100</v>
      </c>
      <c r="J527" t="s">
        <v>20</v>
      </c>
      <c r="K527" t="s">
        <v>1028</v>
      </c>
      <c r="L527" t="s">
        <v>1038</v>
      </c>
      <c r="M527" t="s">
        <v>1047</v>
      </c>
      <c r="N527">
        <v>12</v>
      </c>
      <c r="O527" t="s">
        <v>1052</v>
      </c>
    </row>
    <row r="528" spans="1:15" x14ac:dyDescent="0.25">
      <c r="A528">
        <v>523</v>
      </c>
      <c r="B528" s="6">
        <v>45193</v>
      </c>
      <c r="C528" s="5" t="s">
        <v>549</v>
      </c>
      <c r="D528" s="5" t="s">
        <v>1</v>
      </c>
      <c r="E528">
        <v>62</v>
      </c>
      <c r="F528" s="5" t="s">
        <v>374</v>
      </c>
      <c r="G528">
        <v>1</v>
      </c>
      <c r="H528">
        <v>300</v>
      </c>
      <c r="I528">
        <v>300</v>
      </c>
      <c r="J528" t="s">
        <v>24</v>
      </c>
      <c r="K528" t="s">
        <v>1030</v>
      </c>
      <c r="L528" t="s">
        <v>1038</v>
      </c>
      <c r="M528" t="s">
        <v>1033</v>
      </c>
      <c r="N528">
        <v>9</v>
      </c>
      <c r="O528" t="s">
        <v>1043</v>
      </c>
    </row>
    <row r="529" spans="1:15" x14ac:dyDescent="0.25">
      <c r="A529">
        <v>530</v>
      </c>
      <c r="B529" s="6">
        <v>44962</v>
      </c>
      <c r="C529" s="5" t="s">
        <v>550</v>
      </c>
      <c r="D529" s="5" t="s">
        <v>1</v>
      </c>
      <c r="E529">
        <v>18</v>
      </c>
      <c r="F529" s="5" t="s">
        <v>374</v>
      </c>
      <c r="G529">
        <v>4</v>
      </c>
      <c r="H529">
        <v>30</v>
      </c>
      <c r="I529">
        <v>120</v>
      </c>
      <c r="J529" t="s">
        <v>22</v>
      </c>
      <c r="K529" t="s">
        <v>1029</v>
      </c>
      <c r="L529" t="s">
        <v>1038</v>
      </c>
      <c r="M529" t="s">
        <v>1039</v>
      </c>
      <c r="N529">
        <v>2</v>
      </c>
      <c r="O529" t="s">
        <v>1044</v>
      </c>
    </row>
    <row r="530" spans="1:15" x14ac:dyDescent="0.25">
      <c r="A530">
        <v>531</v>
      </c>
      <c r="B530" s="6">
        <v>45267</v>
      </c>
      <c r="C530" s="5" t="s">
        <v>551</v>
      </c>
      <c r="D530" s="5" t="s">
        <v>2</v>
      </c>
      <c r="E530">
        <v>31</v>
      </c>
      <c r="F530" s="5" t="s">
        <v>374</v>
      </c>
      <c r="G530">
        <v>1</v>
      </c>
      <c r="H530">
        <v>500</v>
      </c>
      <c r="I530">
        <v>500</v>
      </c>
      <c r="J530" t="s">
        <v>20</v>
      </c>
      <c r="K530" t="s">
        <v>1028</v>
      </c>
      <c r="L530" t="s">
        <v>1038</v>
      </c>
      <c r="M530" t="s">
        <v>1047</v>
      </c>
      <c r="N530">
        <v>12</v>
      </c>
      <c r="O530" t="s">
        <v>1052</v>
      </c>
    </row>
    <row r="531" spans="1:15" x14ac:dyDescent="0.25">
      <c r="A531">
        <v>533</v>
      </c>
      <c r="B531" s="6">
        <v>45246</v>
      </c>
      <c r="C531" s="5" t="s">
        <v>552</v>
      </c>
      <c r="D531" s="5" t="s">
        <v>2</v>
      </c>
      <c r="E531">
        <v>19</v>
      </c>
      <c r="F531" s="5" t="s">
        <v>374</v>
      </c>
      <c r="G531">
        <v>3</v>
      </c>
      <c r="H531">
        <v>500</v>
      </c>
      <c r="I531">
        <v>1500</v>
      </c>
      <c r="J531" t="s">
        <v>22</v>
      </c>
      <c r="K531" t="s">
        <v>1029</v>
      </c>
      <c r="L531" t="s">
        <v>1038</v>
      </c>
      <c r="M531" t="s">
        <v>1047</v>
      </c>
      <c r="N531">
        <v>11</v>
      </c>
      <c r="O531" t="s">
        <v>1048</v>
      </c>
    </row>
    <row r="532" spans="1:15" x14ac:dyDescent="0.25">
      <c r="A532">
        <v>540</v>
      </c>
      <c r="B532" s="6">
        <v>45268</v>
      </c>
      <c r="C532" s="5" t="s">
        <v>553</v>
      </c>
      <c r="D532" s="5" t="s">
        <v>1</v>
      </c>
      <c r="E532">
        <v>46</v>
      </c>
      <c r="F532" s="5" t="s">
        <v>374</v>
      </c>
      <c r="G532">
        <v>3</v>
      </c>
      <c r="H532">
        <v>300</v>
      </c>
      <c r="I532">
        <v>900</v>
      </c>
      <c r="J532" t="s">
        <v>20</v>
      </c>
      <c r="K532" t="s">
        <v>1028</v>
      </c>
      <c r="L532" t="s">
        <v>1038</v>
      </c>
      <c r="M532" t="s">
        <v>1047</v>
      </c>
      <c r="N532">
        <v>12</v>
      </c>
      <c r="O532" t="s">
        <v>1052</v>
      </c>
    </row>
    <row r="533" spans="1:15" x14ac:dyDescent="0.25">
      <c r="A533">
        <v>544</v>
      </c>
      <c r="B533" s="6">
        <v>45283</v>
      </c>
      <c r="C533" s="5" t="s">
        <v>554</v>
      </c>
      <c r="D533" s="5" t="s">
        <v>1</v>
      </c>
      <c r="E533">
        <v>27</v>
      </c>
      <c r="F533" s="5" t="s">
        <v>374</v>
      </c>
      <c r="G533">
        <v>1</v>
      </c>
      <c r="H533">
        <v>25</v>
      </c>
      <c r="I533">
        <v>25</v>
      </c>
      <c r="J533" t="s">
        <v>22</v>
      </c>
      <c r="K533" t="s">
        <v>1029</v>
      </c>
      <c r="L533" t="s">
        <v>1038</v>
      </c>
      <c r="M533" t="s">
        <v>1047</v>
      </c>
      <c r="N533">
        <v>12</v>
      </c>
      <c r="O533" t="s">
        <v>1052</v>
      </c>
    </row>
    <row r="534" spans="1:15" x14ac:dyDescent="0.25">
      <c r="A534">
        <v>546</v>
      </c>
      <c r="B534" s="6">
        <v>45210</v>
      </c>
      <c r="C534" s="5" t="s">
        <v>555</v>
      </c>
      <c r="D534" s="5" t="s">
        <v>1</v>
      </c>
      <c r="E534">
        <v>36</v>
      </c>
      <c r="F534" s="5" t="s">
        <v>374</v>
      </c>
      <c r="G534">
        <v>4</v>
      </c>
      <c r="H534">
        <v>50</v>
      </c>
      <c r="I534">
        <v>200</v>
      </c>
      <c r="J534" t="s">
        <v>20</v>
      </c>
      <c r="K534" t="s">
        <v>1028</v>
      </c>
      <c r="L534" t="s">
        <v>1038</v>
      </c>
      <c r="M534" t="s">
        <v>1047</v>
      </c>
      <c r="N534">
        <v>10</v>
      </c>
      <c r="O534" t="s">
        <v>1049</v>
      </c>
    </row>
    <row r="535" spans="1:15" x14ac:dyDescent="0.25">
      <c r="A535">
        <v>551</v>
      </c>
      <c r="B535" s="6">
        <v>45121</v>
      </c>
      <c r="C535" s="5" t="s">
        <v>556</v>
      </c>
      <c r="D535" s="5" t="s">
        <v>2</v>
      </c>
      <c r="E535">
        <v>45</v>
      </c>
      <c r="F535" s="5" t="s">
        <v>374</v>
      </c>
      <c r="G535">
        <v>3</v>
      </c>
      <c r="H535">
        <v>300</v>
      </c>
      <c r="I535">
        <v>900</v>
      </c>
      <c r="J535" t="s">
        <v>20</v>
      </c>
      <c r="K535" t="s">
        <v>1028</v>
      </c>
      <c r="L535" t="s">
        <v>1038</v>
      </c>
      <c r="M535" t="s">
        <v>1033</v>
      </c>
      <c r="N535">
        <v>7</v>
      </c>
      <c r="O535" t="s">
        <v>1046</v>
      </c>
    </row>
    <row r="536" spans="1:15" x14ac:dyDescent="0.25">
      <c r="A536">
        <v>552</v>
      </c>
      <c r="B536" s="6">
        <v>45273</v>
      </c>
      <c r="C536" s="5" t="s">
        <v>557</v>
      </c>
      <c r="D536" s="5" t="s">
        <v>1</v>
      </c>
      <c r="E536">
        <v>49</v>
      </c>
      <c r="F536" s="5" t="s">
        <v>374</v>
      </c>
      <c r="G536">
        <v>3</v>
      </c>
      <c r="H536">
        <v>25</v>
      </c>
      <c r="I536">
        <v>75</v>
      </c>
      <c r="J536" t="s">
        <v>20</v>
      </c>
      <c r="K536" t="s">
        <v>1028</v>
      </c>
      <c r="L536" t="s">
        <v>1038</v>
      </c>
      <c r="M536" t="s">
        <v>1047</v>
      </c>
      <c r="N536">
        <v>12</v>
      </c>
      <c r="O536" t="s">
        <v>1052</v>
      </c>
    </row>
    <row r="537" spans="1:15" x14ac:dyDescent="0.25">
      <c r="A537">
        <v>556</v>
      </c>
      <c r="B537" s="6">
        <v>45081</v>
      </c>
      <c r="C537" s="5" t="s">
        <v>558</v>
      </c>
      <c r="D537" s="5" t="s">
        <v>1</v>
      </c>
      <c r="E537">
        <v>18</v>
      </c>
      <c r="F537" s="5" t="s">
        <v>374</v>
      </c>
      <c r="G537">
        <v>1</v>
      </c>
      <c r="H537">
        <v>50</v>
      </c>
      <c r="I537">
        <v>50</v>
      </c>
      <c r="J537" t="s">
        <v>22</v>
      </c>
      <c r="K537" t="s">
        <v>1029</v>
      </c>
      <c r="L537" t="s">
        <v>1038</v>
      </c>
      <c r="M537" t="s">
        <v>1041</v>
      </c>
      <c r="N537">
        <v>6</v>
      </c>
      <c r="O537" t="s">
        <v>1050</v>
      </c>
    </row>
    <row r="538" spans="1:15" x14ac:dyDescent="0.25">
      <c r="A538">
        <v>560</v>
      </c>
      <c r="B538" s="6">
        <v>45082</v>
      </c>
      <c r="C538" s="5" t="s">
        <v>559</v>
      </c>
      <c r="D538" s="5" t="s">
        <v>1</v>
      </c>
      <c r="E538">
        <v>25</v>
      </c>
      <c r="F538" s="5" t="s">
        <v>374</v>
      </c>
      <c r="G538">
        <v>1</v>
      </c>
      <c r="H538">
        <v>50</v>
      </c>
      <c r="I538">
        <v>50</v>
      </c>
      <c r="J538" t="s">
        <v>22</v>
      </c>
      <c r="K538" t="s">
        <v>1029</v>
      </c>
      <c r="L538" t="s">
        <v>1038</v>
      </c>
      <c r="M538" t="s">
        <v>1041</v>
      </c>
      <c r="N538">
        <v>6</v>
      </c>
      <c r="O538" t="s">
        <v>1050</v>
      </c>
    </row>
    <row r="539" spans="1:15" x14ac:dyDescent="0.25">
      <c r="A539">
        <v>562</v>
      </c>
      <c r="B539" s="6">
        <v>45034</v>
      </c>
      <c r="C539" s="5" t="s">
        <v>560</v>
      </c>
      <c r="D539" s="5" t="s">
        <v>2</v>
      </c>
      <c r="E539">
        <v>54</v>
      </c>
      <c r="F539" s="5" t="s">
        <v>374</v>
      </c>
      <c r="G539">
        <v>2</v>
      </c>
      <c r="H539">
        <v>25</v>
      </c>
      <c r="I539">
        <v>50</v>
      </c>
      <c r="J539" t="s">
        <v>20</v>
      </c>
      <c r="K539" t="s">
        <v>1028</v>
      </c>
      <c r="L539" t="s">
        <v>1038</v>
      </c>
      <c r="M539" t="s">
        <v>1041</v>
      </c>
      <c r="N539">
        <v>4</v>
      </c>
      <c r="O539" t="s">
        <v>1042</v>
      </c>
    </row>
    <row r="540" spans="1:15" x14ac:dyDescent="0.25">
      <c r="A540">
        <v>564</v>
      </c>
      <c r="B540" s="6">
        <v>45223</v>
      </c>
      <c r="C540" s="5" t="s">
        <v>561</v>
      </c>
      <c r="D540" s="5" t="s">
        <v>2</v>
      </c>
      <c r="E540">
        <v>50</v>
      </c>
      <c r="F540" s="5" t="s">
        <v>374</v>
      </c>
      <c r="G540">
        <v>2</v>
      </c>
      <c r="H540">
        <v>50</v>
      </c>
      <c r="I540">
        <v>100</v>
      </c>
      <c r="J540" t="s">
        <v>20</v>
      </c>
      <c r="K540" t="s">
        <v>1028</v>
      </c>
      <c r="L540" t="s">
        <v>1038</v>
      </c>
      <c r="M540" t="s">
        <v>1047</v>
      </c>
      <c r="N540">
        <v>10</v>
      </c>
      <c r="O540" t="s">
        <v>1049</v>
      </c>
    </row>
    <row r="541" spans="1:15" x14ac:dyDescent="0.25">
      <c r="A541">
        <v>568</v>
      </c>
      <c r="B541" s="6">
        <v>45165</v>
      </c>
      <c r="C541" s="5" t="s">
        <v>562</v>
      </c>
      <c r="D541" s="5" t="s">
        <v>1</v>
      </c>
      <c r="E541">
        <v>51</v>
      </c>
      <c r="F541" s="5" t="s">
        <v>374</v>
      </c>
      <c r="G541">
        <v>1</v>
      </c>
      <c r="H541">
        <v>300</v>
      </c>
      <c r="I541">
        <v>300</v>
      </c>
      <c r="J541" t="s">
        <v>20</v>
      </c>
      <c r="K541" t="s">
        <v>1028</v>
      </c>
      <c r="L541" t="s">
        <v>1038</v>
      </c>
      <c r="M541" t="s">
        <v>1033</v>
      </c>
      <c r="N541">
        <v>8</v>
      </c>
      <c r="O541" t="s">
        <v>1051</v>
      </c>
    </row>
    <row r="542" spans="1:15" x14ac:dyDescent="0.25">
      <c r="A542">
        <v>569</v>
      </c>
      <c r="B542" s="6">
        <v>45153</v>
      </c>
      <c r="C542" s="5" t="s">
        <v>563</v>
      </c>
      <c r="D542" s="5" t="s">
        <v>2</v>
      </c>
      <c r="E542">
        <v>52</v>
      </c>
      <c r="F542" s="5" t="s">
        <v>374</v>
      </c>
      <c r="G542">
        <v>4</v>
      </c>
      <c r="H542">
        <v>50</v>
      </c>
      <c r="I542">
        <v>200</v>
      </c>
      <c r="J542" t="s">
        <v>20</v>
      </c>
      <c r="K542" t="s">
        <v>1028</v>
      </c>
      <c r="L542" t="s">
        <v>1038</v>
      </c>
      <c r="M542" t="s">
        <v>1033</v>
      </c>
      <c r="N542">
        <v>8</v>
      </c>
      <c r="O542" t="s">
        <v>1051</v>
      </c>
    </row>
    <row r="543" spans="1:15" x14ac:dyDescent="0.25">
      <c r="A543">
        <v>571</v>
      </c>
      <c r="B543" s="6">
        <v>45272</v>
      </c>
      <c r="C543" s="5" t="s">
        <v>564</v>
      </c>
      <c r="D543" s="5" t="s">
        <v>1</v>
      </c>
      <c r="E543">
        <v>41</v>
      </c>
      <c r="F543" s="5" t="s">
        <v>374</v>
      </c>
      <c r="G543">
        <v>1</v>
      </c>
      <c r="H543">
        <v>50</v>
      </c>
      <c r="I543">
        <v>50</v>
      </c>
      <c r="J543" t="s">
        <v>20</v>
      </c>
      <c r="K543" t="s">
        <v>1028</v>
      </c>
      <c r="L543" t="s">
        <v>1038</v>
      </c>
      <c r="M543" t="s">
        <v>1047</v>
      </c>
      <c r="N543">
        <v>12</v>
      </c>
      <c r="O543" t="s">
        <v>1052</v>
      </c>
    </row>
    <row r="544" spans="1:15" x14ac:dyDescent="0.25">
      <c r="A544">
        <v>574</v>
      </c>
      <c r="B544" s="6">
        <v>45169</v>
      </c>
      <c r="C544" s="5" t="s">
        <v>565</v>
      </c>
      <c r="D544" s="5" t="s">
        <v>1</v>
      </c>
      <c r="E544">
        <v>63</v>
      </c>
      <c r="F544" s="5" t="s">
        <v>374</v>
      </c>
      <c r="G544">
        <v>2</v>
      </c>
      <c r="H544">
        <v>25</v>
      </c>
      <c r="I544">
        <v>50</v>
      </c>
      <c r="J544" t="s">
        <v>24</v>
      </c>
      <c r="K544" t="s">
        <v>1030</v>
      </c>
      <c r="L544" t="s">
        <v>1038</v>
      </c>
      <c r="M544" t="s">
        <v>1033</v>
      </c>
      <c r="N544">
        <v>8</v>
      </c>
      <c r="O544" t="s">
        <v>1051</v>
      </c>
    </row>
    <row r="545" spans="1:15" x14ac:dyDescent="0.25">
      <c r="A545">
        <v>579</v>
      </c>
      <c r="B545" s="6">
        <v>45190</v>
      </c>
      <c r="C545" s="5" t="s">
        <v>566</v>
      </c>
      <c r="D545" s="5" t="s">
        <v>1</v>
      </c>
      <c r="E545">
        <v>38</v>
      </c>
      <c r="F545" s="5" t="s">
        <v>374</v>
      </c>
      <c r="G545">
        <v>1</v>
      </c>
      <c r="H545">
        <v>30</v>
      </c>
      <c r="I545">
        <v>30</v>
      </c>
      <c r="J545" t="s">
        <v>20</v>
      </c>
      <c r="K545" t="s">
        <v>1028</v>
      </c>
      <c r="L545" t="s">
        <v>1038</v>
      </c>
      <c r="M545" t="s">
        <v>1033</v>
      </c>
      <c r="N545">
        <v>9</v>
      </c>
      <c r="O545" t="s">
        <v>1043</v>
      </c>
    </row>
    <row r="546" spans="1:15" x14ac:dyDescent="0.25">
      <c r="A546">
        <v>583</v>
      </c>
      <c r="B546" s="6">
        <v>45098</v>
      </c>
      <c r="C546" s="5" t="s">
        <v>567</v>
      </c>
      <c r="D546" s="5" t="s">
        <v>1</v>
      </c>
      <c r="E546">
        <v>24</v>
      </c>
      <c r="F546" s="5" t="s">
        <v>374</v>
      </c>
      <c r="G546">
        <v>4</v>
      </c>
      <c r="H546">
        <v>25</v>
      </c>
      <c r="I546">
        <v>100</v>
      </c>
      <c r="J546" t="s">
        <v>22</v>
      </c>
      <c r="K546" t="s">
        <v>1029</v>
      </c>
      <c r="L546" t="s">
        <v>1038</v>
      </c>
      <c r="M546" t="s">
        <v>1041</v>
      </c>
      <c r="N546">
        <v>6</v>
      </c>
      <c r="O546" t="s">
        <v>1050</v>
      </c>
    </row>
    <row r="547" spans="1:15" x14ac:dyDescent="0.25">
      <c r="A547">
        <v>586</v>
      </c>
      <c r="B547" s="6">
        <v>45271</v>
      </c>
      <c r="C547" s="5" t="s">
        <v>568</v>
      </c>
      <c r="D547" s="5" t="s">
        <v>2</v>
      </c>
      <c r="E547">
        <v>50</v>
      </c>
      <c r="F547" s="5" t="s">
        <v>374</v>
      </c>
      <c r="G547">
        <v>1</v>
      </c>
      <c r="H547">
        <v>50</v>
      </c>
      <c r="I547">
        <v>50</v>
      </c>
      <c r="J547" t="s">
        <v>20</v>
      </c>
      <c r="K547" t="s">
        <v>1028</v>
      </c>
      <c r="L547" t="s">
        <v>1038</v>
      </c>
      <c r="M547" t="s">
        <v>1047</v>
      </c>
      <c r="N547">
        <v>12</v>
      </c>
      <c r="O547" t="s">
        <v>1052</v>
      </c>
    </row>
    <row r="548" spans="1:15" x14ac:dyDescent="0.25">
      <c r="A548">
        <v>588</v>
      </c>
      <c r="B548" s="6">
        <v>45042</v>
      </c>
      <c r="C548" s="5" t="s">
        <v>569</v>
      </c>
      <c r="D548" s="5" t="s">
        <v>2</v>
      </c>
      <c r="E548">
        <v>38</v>
      </c>
      <c r="F548" s="5" t="s">
        <v>374</v>
      </c>
      <c r="G548">
        <v>2</v>
      </c>
      <c r="H548">
        <v>30</v>
      </c>
      <c r="I548">
        <v>60</v>
      </c>
      <c r="J548" t="s">
        <v>20</v>
      </c>
      <c r="K548" t="s">
        <v>1028</v>
      </c>
      <c r="L548" t="s">
        <v>1038</v>
      </c>
      <c r="M548" t="s">
        <v>1041</v>
      </c>
      <c r="N548">
        <v>4</v>
      </c>
      <c r="O548" t="s">
        <v>1042</v>
      </c>
    </row>
    <row r="549" spans="1:15" x14ac:dyDescent="0.25">
      <c r="A549">
        <v>591</v>
      </c>
      <c r="B549" s="6">
        <v>44939</v>
      </c>
      <c r="C549" s="5" t="s">
        <v>570</v>
      </c>
      <c r="D549" s="5" t="s">
        <v>2</v>
      </c>
      <c r="E549">
        <v>53</v>
      </c>
      <c r="F549" s="5" t="s">
        <v>374</v>
      </c>
      <c r="G549">
        <v>4</v>
      </c>
      <c r="H549">
        <v>25</v>
      </c>
      <c r="I549">
        <v>100</v>
      </c>
      <c r="J549" t="s">
        <v>20</v>
      </c>
      <c r="K549" t="s">
        <v>1028</v>
      </c>
      <c r="L549" t="s">
        <v>1038</v>
      </c>
      <c r="M549" t="s">
        <v>1039</v>
      </c>
      <c r="N549">
        <v>1</v>
      </c>
      <c r="O549" t="s">
        <v>1045</v>
      </c>
    </row>
    <row r="550" spans="1:15" x14ac:dyDescent="0.25">
      <c r="A550">
        <v>593</v>
      </c>
      <c r="B550" s="6">
        <v>45052</v>
      </c>
      <c r="C550" s="5" t="s">
        <v>571</v>
      </c>
      <c r="D550" s="5" t="s">
        <v>2</v>
      </c>
      <c r="E550">
        <v>35</v>
      </c>
      <c r="F550" s="5" t="s">
        <v>374</v>
      </c>
      <c r="G550">
        <v>2</v>
      </c>
      <c r="H550">
        <v>30</v>
      </c>
      <c r="I550">
        <v>60</v>
      </c>
      <c r="J550" t="s">
        <v>20</v>
      </c>
      <c r="K550" t="s">
        <v>1028</v>
      </c>
      <c r="L550" t="s">
        <v>1038</v>
      </c>
      <c r="M550" t="s">
        <v>1041</v>
      </c>
      <c r="N550">
        <v>5</v>
      </c>
      <c r="O550" t="s">
        <v>1032</v>
      </c>
    </row>
    <row r="551" spans="1:15" x14ac:dyDescent="0.25">
      <c r="A551">
        <v>594</v>
      </c>
      <c r="B551" s="6">
        <v>45170</v>
      </c>
      <c r="C551" s="5" t="s">
        <v>572</v>
      </c>
      <c r="D551" s="5" t="s">
        <v>1</v>
      </c>
      <c r="E551">
        <v>19</v>
      </c>
      <c r="F551" s="5" t="s">
        <v>374</v>
      </c>
      <c r="G551">
        <v>2</v>
      </c>
      <c r="H551">
        <v>300</v>
      </c>
      <c r="I551">
        <v>600</v>
      </c>
      <c r="J551" t="s">
        <v>22</v>
      </c>
      <c r="K551" t="s">
        <v>1029</v>
      </c>
      <c r="L551" t="s">
        <v>1038</v>
      </c>
      <c r="M551" t="s">
        <v>1033</v>
      </c>
      <c r="N551">
        <v>9</v>
      </c>
      <c r="O551" t="s">
        <v>1043</v>
      </c>
    </row>
    <row r="552" spans="1:15" x14ac:dyDescent="0.25">
      <c r="A552">
        <v>596</v>
      </c>
      <c r="B552" s="6">
        <v>44964</v>
      </c>
      <c r="C552" s="5" t="s">
        <v>573</v>
      </c>
      <c r="D552" s="5" t="s">
        <v>1</v>
      </c>
      <c r="E552">
        <v>64</v>
      </c>
      <c r="F552" s="5" t="s">
        <v>374</v>
      </c>
      <c r="G552">
        <v>1</v>
      </c>
      <c r="H552">
        <v>300</v>
      </c>
      <c r="I552">
        <v>300</v>
      </c>
      <c r="J552" t="s">
        <v>24</v>
      </c>
      <c r="K552" t="s">
        <v>1030</v>
      </c>
      <c r="L552" t="s">
        <v>1038</v>
      </c>
      <c r="M552" t="s">
        <v>1039</v>
      </c>
      <c r="N552">
        <v>2</v>
      </c>
      <c r="O552" t="s">
        <v>1044</v>
      </c>
    </row>
    <row r="553" spans="1:15" x14ac:dyDescent="0.25">
      <c r="A553">
        <v>602</v>
      </c>
      <c r="B553" s="6">
        <v>45283</v>
      </c>
      <c r="C553" s="5" t="s">
        <v>574</v>
      </c>
      <c r="D553" s="5" t="s">
        <v>1</v>
      </c>
      <c r="E553">
        <v>20</v>
      </c>
      <c r="F553" s="5" t="s">
        <v>374</v>
      </c>
      <c r="G553">
        <v>1</v>
      </c>
      <c r="H553">
        <v>300</v>
      </c>
      <c r="I553">
        <v>300</v>
      </c>
      <c r="J553" t="s">
        <v>22</v>
      </c>
      <c r="K553" t="s">
        <v>1029</v>
      </c>
      <c r="L553" t="s">
        <v>1038</v>
      </c>
      <c r="M553" t="s">
        <v>1047</v>
      </c>
      <c r="N553">
        <v>12</v>
      </c>
      <c r="O553" t="s">
        <v>1052</v>
      </c>
    </row>
    <row r="554" spans="1:15" x14ac:dyDescent="0.25">
      <c r="A554">
        <v>604</v>
      </c>
      <c r="B554" s="6">
        <v>45180</v>
      </c>
      <c r="C554" s="5" t="s">
        <v>575</v>
      </c>
      <c r="D554" s="5" t="s">
        <v>1</v>
      </c>
      <c r="E554">
        <v>29</v>
      </c>
      <c r="F554" s="5" t="s">
        <v>374</v>
      </c>
      <c r="G554">
        <v>4</v>
      </c>
      <c r="H554">
        <v>50</v>
      </c>
      <c r="I554">
        <v>200</v>
      </c>
      <c r="J554" t="s">
        <v>22</v>
      </c>
      <c r="K554" t="s">
        <v>1029</v>
      </c>
      <c r="L554" t="s">
        <v>1038</v>
      </c>
      <c r="M554" t="s">
        <v>1033</v>
      </c>
      <c r="N554">
        <v>9</v>
      </c>
      <c r="O554" t="s">
        <v>1043</v>
      </c>
    </row>
    <row r="555" spans="1:15" x14ac:dyDescent="0.25">
      <c r="A555">
        <v>605</v>
      </c>
      <c r="B555" s="6">
        <v>45131</v>
      </c>
      <c r="C555" s="5" t="s">
        <v>576</v>
      </c>
      <c r="D555" s="5" t="s">
        <v>2</v>
      </c>
      <c r="E555">
        <v>37</v>
      </c>
      <c r="F555" s="5" t="s">
        <v>374</v>
      </c>
      <c r="G555">
        <v>2</v>
      </c>
      <c r="H555">
        <v>500</v>
      </c>
      <c r="I555">
        <v>1000</v>
      </c>
      <c r="J555" t="s">
        <v>20</v>
      </c>
      <c r="K555" t="s">
        <v>1028</v>
      </c>
      <c r="L555" t="s">
        <v>1038</v>
      </c>
      <c r="M555" t="s">
        <v>1033</v>
      </c>
      <c r="N555">
        <v>7</v>
      </c>
      <c r="O555" t="s">
        <v>1046</v>
      </c>
    </row>
    <row r="556" spans="1:15" x14ac:dyDescent="0.25">
      <c r="A556">
        <v>606</v>
      </c>
      <c r="B556" s="6">
        <v>45051</v>
      </c>
      <c r="C556" s="5" t="s">
        <v>577</v>
      </c>
      <c r="D556" s="5" t="s">
        <v>2</v>
      </c>
      <c r="E556">
        <v>22</v>
      </c>
      <c r="F556" s="5" t="s">
        <v>374</v>
      </c>
      <c r="G556">
        <v>1</v>
      </c>
      <c r="H556">
        <v>50</v>
      </c>
      <c r="I556">
        <v>50</v>
      </c>
      <c r="J556" t="s">
        <v>22</v>
      </c>
      <c r="K556" t="s">
        <v>1029</v>
      </c>
      <c r="L556" t="s">
        <v>1038</v>
      </c>
      <c r="M556" t="s">
        <v>1041</v>
      </c>
      <c r="N556">
        <v>5</v>
      </c>
      <c r="O556" t="s">
        <v>1032</v>
      </c>
    </row>
    <row r="557" spans="1:15" x14ac:dyDescent="0.25">
      <c r="A557">
        <v>608</v>
      </c>
      <c r="B557" s="6">
        <v>45262</v>
      </c>
      <c r="C557" s="5" t="s">
        <v>578</v>
      </c>
      <c r="D557" s="5" t="s">
        <v>1</v>
      </c>
      <c r="E557">
        <v>55</v>
      </c>
      <c r="F557" s="5" t="s">
        <v>374</v>
      </c>
      <c r="G557">
        <v>3</v>
      </c>
      <c r="H557">
        <v>500</v>
      </c>
      <c r="I557">
        <v>1500</v>
      </c>
      <c r="J557" t="s">
        <v>20</v>
      </c>
      <c r="K557" t="s">
        <v>1028</v>
      </c>
      <c r="L557" t="s">
        <v>1038</v>
      </c>
      <c r="M557" t="s">
        <v>1047</v>
      </c>
      <c r="N557">
        <v>12</v>
      </c>
      <c r="O557" t="s">
        <v>1052</v>
      </c>
    </row>
    <row r="558" spans="1:15" x14ac:dyDescent="0.25">
      <c r="A558">
        <v>612</v>
      </c>
      <c r="B558" s="6">
        <v>45144</v>
      </c>
      <c r="C558" s="5" t="s">
        <v>579</v>
      </c>
      <c r="D558" s="5" t="s">
        <v>1</v>
      </c>
      <c r="E558">
        <v>61</v>
      </c>
      <c r="F558" s="5" t="s">
        <v>374</v>
      </c>
      <c r="G558">
        <v>1</v>
      </c>
      <c r="H558">
        <v>500</v>
      </c>
      <c r="I558">
        <v>500</v>
      </c>
      <c r="J558" t="s">
        <v>24</v>
      </c>
      <c r="K558" t="s">
        <v>1030</v>
      </c>
      <c r="L558" t="s">
        <v>1038</v>
      </c>
      <c r="M558" t="s">
        <v>1033</v>
      </c>
      <c r="N558">
        <v>8</v>
      </c>
      <c r="O558" t="s">
        <v>1051</v>
      </c>
    </row>
    <row r="559" spans="1:15" x14ac:dyDescent="0.25">
      <c r="A559">
        <v>617</v>
      </c>
      <c r="B559" s="6">
        <v>45164</v>
      </c>
      <c r="C559" s="5" t="s">
        <v>580</v>
      </c>
      <c r="D559" s="5" t="s">
        <v>2</v>
      </c>
      <c r="E559">
        <v>34</v>
      </c>
      <c r="F559" s="5" t="s">
        <v>374</v>
      </c>
      <c r="G559">
        <v>1</v>
      </c>
      <c r="H559">
        <v>30</v>
      </c>
      <c r="I559">
        <v>30</v>
      </c>
      <c r="J559" t="s">
        <v>20</v>
      </c>
      <c r="K559" t="s">
        <v>1028</v>
      </c>
      <c r="L559" t="s">
        <v>1038</v>
      </c>
      <c r="M559" t="s">
        <v>1033</v>
      </c>
      <c r="N559">
        <v>8</v>
      </c>
      <c r="O559" t="s">
        <v>1051</v>
      </c>
    </row>
    <row r="560" spans="1:15" x14ac:dyDescent="0.25">
      <c r="A560">
        <v>619</v>
      </c>
      <c r="B560" s="6">
        <v>45212</v>
      </c>
      <c r="C560" s="5" t="s">
        <v>581</v>
      </c>
      <c r="D560" s="5" t="s">
        <v>2</v>
      </c>
      <c r="E560">
        <v>47</v>
      </c>
      <c r="F560" s="5" t="s">
        <v>374</v>
      </c>
      <c r="G560">
        <v>4</v>
      </c>
      <c r="H560">
        <v>25</v>
      </c>
      <c r="I560">
        <v>100</v>
      </c>
      <c r="J560" t="s">
        <v>20</v>
      </c>
      <c r="K560" t="s">
        <v>1028</v>
      </c>
      <c r="L560" t="s">
        <v>1038</v>
      </c>
      <c r="M560" t="s">
        <v>1047</v>
      </c>
      <c r="N560">
        <v>10</v>
      </c>
      <c r="O560" t="s">
        <v>1049</v>
      </c>
    </row>
    <row r="561" spans="1:15" x14ac:dyDescent="0.25">
      <c r="A561">
        <v>620</v>
      </c>
      <c r="B561" s="6">
        <v>45054</v>
      </c>
      <c r="C561" s="5" t="s">
        <v>582</v>
      </c>
      <c r="D561" s="5" t="s">
        <v>2</v>
      </c>
      <c r="E561">
        <v>63</v>
      </c>
      <c r="F561" s="5" t="s">
        <v>374</v>
      </c>
      <c r="G561">
        <v>3</v>
      </c>
      <c r="H561">
        <v>25</v>
      </c>
      <c r="I561">
        <v>75</v>
      </c>
      <c r="J561" t="s">
        <v>24</v>
      </c>
      <c r="K561" t="s">
        <v>1030</v>
      </c>
      <c r="L561" t="s">
        <v>1038</v>
      </c>
      <c r="M561" t="s">
        <v>1041</v>
      </c>
      <c r="N561">
        <v>5</v>
      </c>
      <c r="O561" t="s">
        <v>1032</v>
      </c>
    </row>
    <row r="562" spans="1:15" x14ac:dyDescent="0.25">
      <c r="A562">
        <v>629</v>
      </c>
      <c r="B562" s="6">
        <v>45089</v>
      </c>
      <c r="C562" s="5" t="s">
        <v>583</v>
      </c>
      <c r="D562" s="5" t="s">
        <v>2</v>
      </c>
      <c r="E562">
        <v>62</v>
      </c>
      <c r="F562" s="5" t="s">
        <v>374</v>
      </c>
      <c r="G562">
        <v>2</v>
      </c>
      <c r="H562">
        <v>25</v>
      </c>
      <c r="I562">
        <v>50</v>
      </c>
      <c r="J562" t="s">
        <v>24</v>
      </c>
      <c r="K562" t="s">
        <v>1030</v>
      </c>
      <c r="L562" t="s">
        <v>1038</v>
      </c>
      <c r="M562" t="s">
        <v>1041</v>
      </c>
      <c r="N562">
        <v>6</v>
      </c>
      <c r="O562" t="s">
        <v>1050</v>
      </c>
    </row>
    <row r="563" spans="1:15" x14ac:dyDescent="0.25">
      <c r="A563">
        <v>631</v>
      </c>
      <c r="B563" s="6">
        <v>45240</v>
      </c>
      <c r="C563" s="5" t="s">
        <v>584</v>
      </c>
      <c r="D563" s="5" t="s">
        <v>2</v>
      </c>
      <c r="E563">
        <v>56</v>
      </c>
      <c r="F563" s="5" t="s">
        <v>374</v>
      </c>
      <c r="G563">
        <v>3</v>
      </c>
      <c r="H563">
        <v>30</v>
      </c>
      <c r="I563">
        <v>90</v>
      </c>
      <c r="J563" t="s">
        <v>24</v>
      </c>
      <c r="K563" t="s">
        <v>1030</v>
      </c>
      <c r="L563" t="s">
        <v>1038</v>
      </c>
      <c r="M563" t="s">
        <v>1047</v>
      </c>
      <c r="N563">
        <v>11</v>
      </c>
      <c r="O563" t="s">
        <v>1048</v>
      </c>
    </row>
    <row r="564" spans="1:15" x14ac:dyDescent="0.25">
      <c r="A564">
        <v>632</v>
      </c>
      <c r="B564" s="6">
        <v>45185</v>
      </c>
      <c r="C564" s="5" t="s">
        <v>585</v>
      </c>
      <c r="D564" s="5" t="s">
        <v>1</v>
      </c>
      <c r="E564">
        <v>26</v>
      </c>
      <c r="F564" s="5" t="s">
        <v>374</v>
      </c>
      <c r="G564">
        <v>4</v>
      </c>
      <c r="H564">
        <v>25</v>
      </c>
      <c r="I564">
        <v>100</v>
      </c>
      <c r="J564" t="s">
        <v>22</v>
      </c>
      <c r="K564" t="s">
        <v>1029</v>
      </c>
      <c r="L564" t="s">
        <v>1038</v>
      </c>
      <c r="M564" t="s">
        <v>1033</v>
      </c>
      <c r="N564">
        <v>9</v>
      </c>
      <c r="O564" t="s">
        <v>1043</v>
      </c>
    </row>
    <row r="565" spans="1:15" x14ac:dyDescent="0.25">
      <c r="A565">
        <v>634</v>
      </c>
      <c r="B565" s="6">
        <v>45207</v>
      </c>
      <c r="C565" s="5" t="s">
        <v>586</v>
      </c>
      <c r="D565" s="5" t="s">
        <v>2</v>
      </c>
      <c r="E565">
        <v>60</v>
      </c>
      <c r="F565" s="5" t="s">
        <v>374</v>
      </c>
      <c r="G565">
        <v>4</v>
      </c>
      <c r="H565">
        <v>500</v>
      </c>
      <c r="I565">
        <v>2000</v>
      </c>
      <c r="J565" t="s">
        <v>24</v>
      </c>
      <c r="K565" t="s">
        <v>1030</v>
      </c>
      <c r="L565" t="s">
        <v>1038</v>
      </c>
      <c r="M565" t="s">
        <v>1047</v>
      </c>
      <c r="N565">
        <v>10</v>
      </c>
      <c r="O565" t="s">
        <v>1049</v>
      </c>
    </row>
    <row r="566" spans="1:15" x14ac:dyDescent="0.25">
      <c r="A566">
        <v>635</v>
      </c>
      <c r="B566" s="6">
        <v>45155</v>
      </c>
      <c r="C566" s="5" t="s">
        <v>587</v>
      </c>
      <c r="D566" s="5" t="s">
        <v>1</v>
      </c>
      <c r="E566">
        <v>63</v>
      </c>
      <c r="F566" s="5" t="s">
        <v>374</v>
      </c>
      <c r="G566">
        <v>3</v>
      </c>
      <c r="H566">
        <v>300</v>
      </c>
      <c r="I566">
        <v>900</v>
      </c>
      <c r="J566" t="s">
        <v>24</v>
      </c>
      <c r="K566" t="s">
        <v>1030</v>
      </c>
      <c r="L566" t="s">
        <v>1038</v>
      </c>
      <c r="M566" t="s">
        <v>1033</v>
      </c>
      <c r="N566">
        <v>8</v>
      </c>
      <c r="O566" t="s">
        <v>1051</v>
      </c>
    </row>
    <row r="567" spans="1:15" x14ac:dyDescent="0.25">
      <c r="A567">
        <v>638</v>
      </c>
      <c r="B567" s="6">
        <v>45157</v>
      </c>
      <c r="C567" s="5" t="s">
        <v>588</v>
      </c>
      <c r="D567" s="5" t="s">
        <v>2</v>
      </c>
      <c r="E567">
        <v>46</v>
      </c>
      <c r="F567" s="5" t="s">
        <v>374</v>
      </c>
      <c r="G567">
        <v>1</v>
      </c>
      <c r="H567">
        <v>500</v>
      </c>
      <c r="I567">
        <v>500</v>
      </c>
      <c r="J567" t="s">
        <v>20</v>
      </c>
      <c r="K567" t="s">
        <v>1028</v>
      </c>
      <c r="L567" t="s">
        <v>1038</v>
      </c>
      <c r="M567" t="s">
        <v>1033</v>
      </c>
      <c r="N567">
        <v>8</v>
      </c>
      <c r="O567" t="s">
        <v>1051</v>
      </c>
    </row>
    <row r="568" spans="1:15" x14ac:dyDescent="0.25">
      <c r="A568">
        <v>640</v>
      </c>
      <c r="B568" s="6">
        <v>45053</v>
      </c>
      <c r="C568" s="5" t="s">
        <v>589</v>
      </c>
      <c r="D568" s="5" t="s">
        <v>1</v>
      </c>
      <c r="E568">
        <v>51</v>
      </c>
      <c r="F568" s="5" t="s">
        <v>374</v>
      </c>
      <c r="G568">
        <v>4</v>
      </c>
      <c r="H568">
        <v>30</v>
      </c>
      <c r="I568">
        <v>120</v>
      </c>
      <c r="J568" t="s">
        <v>20</v>
      </c>
      <c r="K568" t="s">
        <v>1028</v>
      </c>
      <c r="L568" t="s">
        <v>1038</v>
      </c>
      <c r="M568" t="s">
        <v>1041</v>
      </c>
      <c r="N568">
        <v>5</v>
      </c>
      <c r="O568" t="s">
        <v>1032</v>
      </c>
    </row>
    <row r="569" spans="1:15" x14ac:dyDescent="0.25">
      <c r="A569">
        <v>641</v>
      </c>
      <c r="B569" s="6">
        <v>45253</v>
      </c>
      <c r="C569" s="5" t="s">
        <v>590</v>
      </c>
      <c r="D569" s="5" t="s">
        <v>1</v>
      </c>
      <c r="E569">
        <v>40</v>
      </c>
      <c r="F569" s="5" t="s">
        <v>374</v>
      </c>
      <c r="G569">
        <v>1</v>
      </c>
      <c r="H569">
        <v>300</v>
      </c>
      <c r="I569">
        <v>300</v>
      </c>
      <c r="J569" t="s">
        <v>20</v>
      </c>
      <c r="K569" t="s">
        <v>1028</v>
      </c>
      <c r="L569" t="s">
        <v>1038</v>
      </c>
      <c r="M569" t="s">
        <v>1047</v>
      </c>
      <c r="N569">
        <v>11</v>
      </c>
      <c r="O569" t="s">
        <v>1048</v>
      </c>
    </row>
    <row r="570" spans="1:15" x14ac:dyDescent="0.25">
      <c r="A570">
        <v>643</v>
      </c>
      <c r="B570" s="6">
        <v>45193</v>
      </c>
      <c r="C570" s="5" t="s">
        <v>591</v>
      </c>
      <c r="D570" s="5" t="s">
        <v>1</v>
      </c>
      <c r="E570">
        <v>28</v>
      </c>
      <c r="F570" s="5" t="s">
        <v>374</v>
      </c>
      <c r="G570">
        <v>3</v>
      </c>
      <c r="H570">
        <v>30</v>
      </c>
      <c r="I570">
        <v>90</v>
      </c>
      <c r="J570" t="s">
        <v>22</v>
      </c>
      <c r="K570" t="s">
        <v>1029</v>
      </c>
      <c r="L570" t="s">
        <v>1038</v>
      </c>
      <c r="M570" t="s">
        <v>1033</v>
      </c>
      <c r="N570">
        <v>9</v>
      </c>
      <c r="O570" t="s">
        <v>1043</v>
      </c>
    </row>
    <row r="571" spans="1:15" x14ac:dyDescent="0.25">
      <c r="A571">
        <v>645</v>
      </c>
      <c r="B571" s="6">
        <v>45247</v>
      </c>
      <c r="C571" s="5" t="s">
        <v>592</v>
      </c>
      <c r="D571" s="5" t="s">
        <v>1</v>
      </c>
      <c r="E571">
        <v>35</v>
      </c>
      <c r="F571" s="5" t="s">
        <v>374</v>
      </c>
      <c r="G571">
        <v>4</v>
      </c>
      <c r="H571">
        <v>30</v>
      </c>
      <c r="I571">
        <v>120</v>
      </c>
      <c r="J571" t="s">
        <v>20</v>
      </c>
      <c r="K571" t="s">
        <v>1028</v>
      </c>
      <c r="L571" t="s">
        <v>1038</v>
      </c>
      <c r="M571" t="s">
        <v>1047</v>
      </c>
      <c r="N571">
        <v>11</v>
      </c>
      <c r="O571" t="s">
        <v>1048</v>
      </c>
    </row>
    <row r="572" spans="1:15" x14ac:dyDescent="0.25">
      <c r="A572">
        <v>650</v>
      </c>
      <c r="B572" s="6">
        <v>45292</v>
      </c>
      <c r="C572" s="5" t="s">
        <v>593</v>
      </c>
      <c r="D572" s="5" t="s">
        <v>2</v>
      </c>
      <c r="E572">
        <v>55</v>
      </c>
      <c r="F572" s="5" t="s">
        <v>374</v>
      </c>
      <c r="G572">
        <v>1</v>
      </c>
      <c r="H572">
        <v>30</v>
      </c>
      <c r="I572">
        <v>30</v>
      </c>
      <c r="J572" t="s">
        <v>20</v>
      </c>
      <c r="K572" t="s">
        <v>1028</v>
      </c>
      <c r="L572" t="s">
        <v>1053</v>
      </c>
      <c r="M572" t="s">
        <v>1039</v>
      </c>
      <c r="N572">
        <v>1</v>
      </c>
      <c r="O572" t="s">
        <v>1045</v>
      </c>
    </row>
    <row r="573" spans="1:15" x14ac:dyDescent="0.25">
      <c r="A573">
        <v>659</v>
      </c>
      <c r="B573" s="6">
        <v>45004</v>
      </c>
      <c r="C573" s="5" t="s">
        <v>594</v>
      </c>
      <c r="D573" s="5" t="s">
        <v>1</v>
      </c>
      <c r="E573">
        <v>39</v>
      </c>
      <c r="F573" s="5" t="s">
        <v>374</v>
      </c>
      <c r="G573">
        <v>1</v>
      </c>
      <c r="H573">
        <v>30</v>
      </c>
      <c r="I573">
        <v>30</v>
      </c>
      <c r="J573" t="s">
        <v>20</v>
      </c>
      <c r="K573" t="s">
        <v>1028</v>
      </c>
      <c r="L573" t="s">
        <v>1038</v>
      </c>
      <c r="M573" t="s">
        <v>1039</v>
      </c>
      <c r="N573">
        <v>3</v>
      </c>
      <c r="O573" t="s">
        <v>1040</v>
      </c>
    </row>
    <row r="574" spans="1:15" x14ac:dyDescent="0.25">
      <c r="A574">
        <v>666</v>
      </c>
      <c r="B574" s="6">
        <v>44959</v>
      </c>
      <c r="C574" s="5" t="s">
        <v>595</v>
      </c>
      <c r="D574" s="5" t="s">
        <v>2</v>
      </c>
      <c r="E574">
        <v>51</v>
      </c>
      <c r="F574" s="5" t="s">
        <v>374</v>
      </c>
      <c r="G574">
        <v>3</v>
      </c>
      <c r="H574">
        <v>50</v>
      </c>
      <c r="I574">
        <v>150</v>
      </c>
      <c r="J574" t="s">
        <v>20</v>
      </c>
      <c r="K574" t="s">
        <v>1028</v>
      </c>
      <c r="L574" t="s">
        <v>1038</v>
      </c>
      <c r="M574" t="s">
        <v>1039</v>
      </c>
      <c r="N574">
        <v>2</v>
      </c>
      <c r="O574" t="s">
        <v>1044</v>
      </c>
    </row>
    <row r="575" spans="1:15" x14ac:dyDescent="0.25">
      <c r="A575">
        <v>667</v>
      </c>
      <c r="B575" s="6">
        <v>45139</v>
      </c>
      <c r="C575" s="5" t="s">
        <v>596</v>
      </c>
      <c r="D575" s="5" t="s">
        <v>1</v>
      </c>
      <c r="E575">
        <v>29</v>
      </c>
      <c r="F575" s="5" t="s">
        <v>374</v>
      </c>
      <c r="G575">
        <v>1</v>
      </c>
      <c r="H575">
        <v>500</v>
      </c>
      <c r="I575">
        <v>500</v>
      </c>
      <c r="J575" t="s">
        <v>22</v>
      </c>
      <c r="K575" t="s">
        <v>1029</v>
      </c>
      <c r="L575" t="s">
        <v>1038</v>
      </c>
      <c r="M575" t="s">
        <v>1033</v>
      </c>
      <c r="N575">
        <v>8</v>
      </c>
      <c r="O575" t="s">
        <v>1051</v>
      </c>
    </row>
    <row r="576" spans="1:15" x14ac:dyDescent="0.25">
      <c r="A576">
        <v>668</v>
      </c>
      <c r="B576" s="6">
        <v>45135</v>
      </c>
      <c r="C576" s="5" t="s">
        <v>597</v>
      </c>
      <c r="D576" s="5" t="s">
        <v>1</v>
      </c>
      <c r="E576">
        <v>62</v>
      </c>
      <c r="F576" s="5" t="s">
        <v>374</v>
      </c>
      <c r="G576">
        <v>3</v>
      </c>
      <c r="H576">
        <v>50</v>
      </c>
      <c r="I576">
        <v>150</v>
      </c>
      <c r="J576" t="s">
        <v>24</v>
      </c>
      <c r="K576" t="s">
        <v>1030</v>
      </c>
      <c r="L576" t="s">
        <v>1038</v>
      </c>
      <c r="M576" t="s">
        <v>1033</v>
      </c>
      <c r="N576">
        <v>7</v>
      </c>
      <c r="O576" t="s">
        <v>1046</v>
      </c>
    </row>
    <row r="577" spans="1:15" x14ac:dyDescent="0.25">
      <c r="A577">
        <v>671</v>
      </c>
      <c r="B577" s="6">
        <v>45165</v>
      </c>
      <c r="C577" s="5" t="s">
        <v>598</v>
      </c>
      <c r="D577" s="5" t="s">
        <v>2</v>
      </c>
      <c r="E577">
        <v>62</v>
      </c>
      <c r="F577" s="5" t="s">
        <v>374</v>
      </c>
      <c r="G577">
        <v>3</v>
      </c>
      <c r="H577">
        <v>50</v>
      </c>
      <c r="I577">
        <v>150</v>
      </c>
      <c r="J577" t="s">
        <v>24</v>
      </c>
      <c r="K577" t="s">
        <v>1030</v>
      </c>
      <c r="L577" t="s">
        <v>1038</v>
      </c>
      <c r="M577" t="s">
        <v>1033</v>
      </c>
      <c r="N577">
        <v>8</v>
      </c>
      <c r="O577" t="s">
        <v>1051</v>
      </c>
    </row>
    <row r="578" spans="1:15" x14ac:dyDescent="0.25">
      <c r="A578">
        <v>676</v>
      </c>
      <c r="B578" s="6">
        <v>45126</v>
      </c>
      <c r="C578" s="5" t="s">
        <v>599</v>
      </c>
      <c r="D578" s="5" t="s">
        <v>2</v>
      </c>
      <c r="E578">
        <v>63</v>
      </c>
      <c r="F578" s="5" t="s">
        <v>374</v>
      </c>
      <c r="G578">
        <v>3</v>
      </c>
      <c r="H578">
        <v>500</v>
      </c>
      <c r="I578">
        <v>1500</v>
      </c>
      <c r="J578" t="s">
        <v>24</v>
      </c>
      <c r="K578" t="s">
        <v>1030</v>
      </c>
      <c r="L578" t="s">
        <v>1038</v>
      </c>
      <c r="M578" t="s">
        <v>1033</v>
      </c>
      <c r="N578">
        <v>7</v>
      </c>
      <c r="O578" t="s">
        <v>1046</v>
      </c>
    </row>
    <row r="579" spans="1:15" x14ac:dyDescent="0.25">
      <c r="A579">
        <v>678</v>
      </c>
      <c r="B579" s="6">
        <v>45283</v>
      </c>
      <c r="C579" s="5" t="s">
        <v>600</v>
      </c>
      <c r="D579" s="5" t="s">
        <v>1</v>
      </c>
      <c r="E579">
        <v>60</v>
      </c>
      <c r="F579" s="5" t="s">
        <v>374</v>
      </c>
      <c r="G579">
        <v>3</v>
      </c>
      <c r="H579">
        <v>300</v>
      </c>
      <c r="I579">
        <v>900</v>
      </c>
      <c r="J579" t="s">
        <v>24</v>
      </c>
      <c r="K579" t="s">
        <v>1030</v>
      </c>
      <c r="L579" t="s">
        <v>1038</v>
      </c>
      <c r="M579" t="s">
        <v>1047</v>
      </c>
      <c r="N579">
        <v>12</v>
      </c>
      <c r="O579" t="s">
        <v>1052</v>
      </c>
    </row>
    <row r="580" spans="1:15" x14ac:dyDescent="0.25">
      <c r="A580">
        <v>681</v>
      </c>
      <c r="B580" s="6">
        <v>45121</v>
      </c>
      <c r="C580" s="5" t="s">
        <v>601</v>
      </c>
      <c r="D580" s="5" t="s">
        <v>1</v>
      </c>
      <c r="E580">
        <v>43</v>
      </c>
      <c r="F580" s="5" t="s">
        <v>374</v>
      </c>
      <c r="G580">
        <v>2</v>
      </c>
      <c r="H580">
        <v>30</v>
      </c>
      <c r="I580">
        <v>60</v>
      </c>
      <c r="J580" t="s">
        <v>20</v>
      </c>
      <c r="K580" t="s">
        <v>1028</v>
      </c>
      <c r="L580" t="s">
        <v>1038</v>
      </c>
      <c r="M580" t="s">
        <v>1033</v>
      </c>
      <c r="N580">
        <v>7</v>
      </c>
      <c r="O580" t="s">
        <v>1046</v>
      </c>
    </row>
    <row r="581" spans="1:15" x14ac:dyDescent="0.25">
      <c r="A581">
        <v>685</v>
      </c>
      <c r="B581" s="6">
        <v>45079</v>
      </c>
      <c r="C581" s="5" t="s">
        <v>602</v>
      </c>
      <c r="D581" s="5" t="s">
        <v>2</v>
      </c>
      <c r="E581">
        <v>57</v>
      </c>
      <c r="F581" s="5" t="s">
        <v>374</v>
      </c>
      <c r="G581">
        <v>2</v>
      </c>
      <c r="H581">
        <v>25</v>
      </c>
      <c r="I581">
        <v>50</v>
      </c>
      <c r="J581" t="s">
        <v>24</v>
      </c>
      <c r="K581" t="s">
        <v>1030</v>
      </c>
      <c r="L581" t="s">
        <v>1038</v>
      </c>
      <c r="M581" t="s">
        <v>1041</v>
      </c>
      <c r="N581">
        <v>6</v>
      </c>
      <c r="O581" t="s">
        <v>1050</v>
      </c>
    </row>
    <row r="582" spans="1:15" x14ac:dyDescent="0.25">
      <c r="A582">
        <v>686</v>
      </c>
      <c r="B582" s="6">
        <v>45126</v>
      </c>
      <c r="C582" s="5" t="s">
        <v>603</v>
      </c>
      <c r="D582" s="5" t="s">
        <v>1</v>
      </c>
      <c r="E582">
        <v>28</v>
      </c>
      <c r="F582" s="5" t="s">
        <v>374</v>
      </c>
      <c r="G582">
        <v>4</v>
      </c>
      <c r="H582">
        <v>50</v>
      </c>
      <c r="I582">
        <v>200</v>
      </c>
      <c r="J582" t="s">
        <v>22</v>
      </c>
      <c r="K582" t="s">
        <v>1029</v>
      </c>
      <c r="L582" t="s">
        <v>1038</v>
      </c>
      <c r="M582" t="s">
        <v>1033</v>
      </c>
      <c r="N582">
        <v>7</v>
      </c>
      <c r="O582" t="s">
        <v>1046</v>
      </c>
    </row>
    <row r="583" spans="1:15" x14ac:dyDescent="0.25">
      <c r="A583">
        <v>687</v>
      </c>
      <c r="B583" s="6">
        <v>45141</v>
      </c>
      <c r="C583" s="5" t="s">
        <v>604</v>
      </c>
      <c r="D583" s="5" t="s">
        <v>1</v>
      </c>
      <c r="E583">
        <v>53</v>
      </c>
      <c r="F583" s="5" t="s">
        <v>374</v>
      </c>
      <c r="G583">
        <v>1</v>
      </c>
      <c r="H583">
        <v>300</v>
      </c>
      <c r="I583">
        <v>300</v>
      </c>
      <c r="J583" t="s">
        <v>20</v>
      </c>
      <c r="K583" t="s">
        <v>1028</v>
      </c>
      <c r="L583" t="s">
        <v>1038</v>
      </c>
      <c r="M583" t="s">
        <v>1033</v>
      </c>
      <c r="N583">
        <v>8</v>
      </c>
      <c r="O583" t="s">
        <v>1051</v>
      </c>
    </row>
    <row r="584" spans="1:15" x14ac:dyDescent="0.25">
      <c r="A584">
        <v>689</v>
      </c>
      <c r="B584" s="6">
        <v>45206</v>
      </c>
      <c r="C584" s="5" t="s">
        <v>605</v>
      </c>
      <c r="D584" s="5" t="s">
        <v>2</v>
      </c>
      <c r="E584">
        <v>57</v>
      </c>
      <c r="F584" s="5" t="s">
        <v>374</v>
      </c>
      <c r="G584">
        <v>2</v>
      </c>
      <c r="H584">
        <v>50</v>
      </c>
      <c r="I584">
        <v>100</v>
      </c>
      <c r="J584" t="s">
        <v>24</v>
      </c>
      <c r="K584" t="s">
        <v>1030</v>
      </c>
      <c r="L584" t="s">
        <v>1038</v>
      </c>
      <c r="M584" t="s">
        <v>1047</v>
      </c>
      <c r="N584">
        <v>10</v>
      </c>
      <c r="O584" t="s">
        <v>1049</v>
      </c>
    </row>
    <row r="585" spans="1:15" x14ac:dyDescent="0.25">
      <c r="A585">
        <v>694</v>
      </c>
      <c r="B585" s="6">
        <v>45066</v>
      </c>
      <c r="C585" s="5" t="s">
        <v>606</v>
      </c>
      <c r="D585" s="5" t="s">
        <v>1</v>
      </c>
      <c r="E585">
        <v>39</v>
      </c>
      <c r="F585" s="5" t="s">
        <v>374</v>
      </c>
      <c r="G585">
        <v>2</v>
      </c>
      <c r="H585">
        <v>25</v>
      </c>
      <c r="I585">
        <v>50</v>
      </c>
      <c r="J585" t="s">
        <v>20</v>
      </c>
      <c r="K585" t="s">
        <v>1028</v>
      </c>
      <c r="L585" t="s">
        <v>1038</v>
      </c>
      <c r="M585" t="s">
        <v>1041</v>
      </c>
      <c r="N585">
        <v>5</v>
      </c>
      <c r="O585" t="s">
        <v>1032</v>
      </c>
    </row>
    <row r="586" spans="1:15" x14ac:dyDescent="0.25">
      <c r="A586">
        <v>695</v>
      </c>
      <c r="B586" s="6">
        <v>45150</v>
      </c>
      <c r="C586" s="5" t="s">
        <v>607</v>
      </c>
      <c r="D586" s="5" t="s">
        <v>1</v>
      </c>
      <c r="E586">
        <v>22</v>
      </c>
      <c r="F586" s="5" t="s">
        <v>374</v>
      </c>
      <c r="G586">
        <v>3</v>
      </c>
      <c r="H586">
        <v>50</v>
      </c>
      <c r="I586">
        <v>150</v>
      </c>
      <c r="J586" t="s">
        <v>22</v>
      </c>
      <c r="K586" t="s">
        <v>1029</v>
      </c>
      <c r="L586" t="s">
        <v>1038</v>
      </c>
      <c r="M586" t="s">
        <v>1033</v>
      </c>
      <c r="N586">
        <v>8</v>
      </c>
      <c r="O586" t="s">
        <v>1051</v>
      </c>
    </row>
    <row r="587" spans="1:15" x14ac:dyDescent="0.25">
      <c r="A587">
        <v>698</v>
      </c>
      <c r="B587" s="6">
        <v>45126</v>
      </c>
      <c r="C587" s="5" t="s">
        <v>608</v>
      </c>
      <c r="D587" s="5" t="s">
        <v>1</v>
      </c>
      <c r="E587">
        <v>64</v>
      </c>
      <c r="F587" s="5" t="s">
        <v>374</v>
      </c>
      <c r="G587">
        <v>1</v>
      </c>
      <c r="H587">
        <v>300</v>
      </c>
      <c r="I587">
        <v>300</v>
      </c>
      <c r="J587" t="s">
        <v>24</v>
      </c>
      <c r="K587" t="s">
        <v>1030</v>
      </c>
      <c r="L587" t="s">
        <v>1038</v>
      </c>
      <c r="M587" t="s">
        <v>1033</v>
      </c>
      <c r="N587">
        <v>7</v>
      </c>
      <c r="O587" t="s">
        <v>1046</v>
      </c>
    </row>
    <row r="588" spans="1:15" x14ac:dyDescent="0.25">
      <c r="A588">
        <v>700</v>
      </c>
      <c r="B588" s="6">
        <v>45269</v>
      </c>
      <c r="C588" s="5" t="s">
        <v>609</v>
      </c>
      <c r="D588" s="5" t="s">
        <v>2</v>
      </c>
      <c r="E588">
        <v>36</v>
      </c>
      <c r="F588" s="5" t="s">
        <v>374</v>
      </c>
      <c r="G588">
        <v>4</v>
      </c>
      <c r="H588">
        <v>500</v>
      </c>
      <c r="I588">
        <v>2000</v>
      </c>
      <c r="J588" t="s">
        <v>20</v>
      </c>
      <c r="K588" t="s">
        <v>1028</v>
      </c>
      <c r="L588" t="s">
        <v>1038</v>
      </c>
      <c r="M588" t="s">
        <v>1047</v>
      </c>
      <c r="N588">
        <v>12</v>
      </c>
      <c r="O588" t="s">
        <v>1052</v>
      </c>
    </row>
    <row r="589" spans="1:15" x14ac:dyDescent="0.25">
      <c r="A589">
        <v>703</v>
      </c>
      <c r="B589" s="6">
        <v>45011</v>
      </c>
      <c r="C589" s="5" t="s">
        <v>610</v>
      </c>
      <c r="D589" s="5" t="s">
        <v>2</v>
      </c>
      <c r="E589">
        <v>34</v>
      </c>
      <c r="F589" s="5" t="s">
        <v>374</v>
      </c>
      <c r="G589">
        <v>2</v>
      </c>
      <c r="H589">
        <v>50</v>
      </c>
      <c r="I589">
        <v>100</v>
      </c>
      <c r="J589" t="s">
        <v>20</v>
      </c>
      <c r="K589" t="s">
        <v>1028</v>
      </c>
      <c r="L589" t="s">
        <v>1038</v>
      </c>
      <c r="M589" t="s">
        <v>1039</v>
      </c>
      <c r="N589">
        <v>3</v>
      </c>
      <c r="O589" t="s">
        <v>1040</v>
      </c>
    </row>
    <row r="590" spans="1:15" x14ac:dyDescent="0.25">
      <c r="A590">
        <v>705</v>
      </c>
      <c r="B590" s="6">
        <v>44992</v>
      </c>
      <c r="C590" s="5" t="s">
        <v>611</v>
      </c>
      <c r="D590" s="5" t="s">
        <v>2</v>
      </c>
      <c r="E590">
        <v>60</v>
      </c>
      <c r="F590" s="5" t="s">
        <v>374</v>
      </c>
      <c r="G590">
        <v>2</v>
      </c>
      <c r="H590">
        <v>25</v>
      </c>
      <c r="I590">
        <v>50</v>
      </c>
      <c r="J590" t="s">
        <v>24</v>
      </c>
      <c r="K590" t="s">
        <v>1030</v>
      </c>
      <c r="L590" t="s">
        <v>1038</v>
      </c>
      <c r="M590" t="s">
        <v>1039</v>
      </c>
      <c r="N590">
        <v>3</v>
      </c>
      <c r="O590" t="s">
        <v>1040</v>
      </c>
    </row>
    <row r="591" spans="1:15" x14ac:dyDescent="0.25">
      <c r="A591">
        <v>706</v>
      </c>
      <c r="B591" s="6">
        <v>45245</v>
      </c>
      <c r="C591" s="5" t="s">
        <v>612</v>
      </c>
      <c r="D591" s="5" t="s">
        <v>2</v>
      </c>
      <c r="E591">
        <v>51</v>
      </c>
      <c r="F591" s="5" t="s">
        <v>374</v>
      </c>
      <c r="G591">
        <v>4</v>
      </c>
      <c r="H591">
        <v>25</v>
      </c>
      <c r="I591">
        <v>100</v>
      </c>
      <c r="J591" t="s">
        <v>20</v>
      </c>
      <c r="K591" t="s">
        <v>1028</v>
      </c>
      <c r="L591" t="s">
        <v>1038</v>
      </c>
      <c r="M591" t="s">
        <v>1047</v>
      </c>
      <c r="N591">
        <v>11</v>
      </c>
      <c r="O591" t="s">
        <v>1048</v>
      </c>
    </row>
    <row r="592" spans="1:15" x14ac:dyDescent="0.25">
      <c r="A592">
        <v>709</v>
      </c>
      <c r="B592" s="6">
        <v>45128</v>
      </c>
      <c r="C592" s="5" t="s">
        <v>613</v>
      </c>
      <c r="D592" s="5" t="s">
        <v>1</v>
      </c>
      <c r="E592">
        <v>19</v>
      </c>
      <c r="F592" s="5" t="s">
        <v>374</v>
      </c>
      <c r="G592">
        <v>2</v>
      </c>
      <c r="H592">
        <v>500</v>
      </c>
      <c r="I592">
        <v>1000</v>
      </c>
      <c r="J592" t="s">
        <v>22</v>
      </c>
      <c r="K592" t="s">
        <v>1029</v>
      </c>
      <c r="L592" t="s">
        <v>1038</v>
      </c>
      <c r="M592" t="s">
        <v>1033</v>
      </c>
      <c r="N592">
        <v>7</v>
      </c>
      <c r="O592" t="s">
        <v>1046</v>
      </c>
    </row>
    <row r="593" spans="1:15" x14ac:dyDescent="0.25">
      <c r="A593">
        <v>710</v>
      </c>
      <c r="B593" s="6">
        <v>45230</v>
      </c>
      <c r="C593" s="5" t="s">
        <v>614</v>
      </c>
      <c r="D593" s="5" t="s">
        <v>1</v>
      </c>
      <c r="E593">
        <v>26</v>
      </c>
      <c r="F593" s="5" t="s">
        <v>374</v>
      </c>
      <c r="G593">
        <v>3</v>
      </c>
      <c r="H593">
        <v>500</v>
      </c>
      <c r="I593">
        <v>1500</v>
      </c>
      <c r="J593" t="s">
        <v>22</v>
      </c>
      <c r="K593" t="s">
        <v>1029</v>
      </c>
      <c r="L593" t="s">
        <v>1038</v>
      </c>
      <c r="M593" t="s">
        <v>1047</v>
      </c>
      <c r="N593">
        <v>10</v>
      </c>
      <c r="O593" t="s">
        <v>1049</v>
      </c>
    </row>
    <row r="594" spans="1:15" x14ac:dyDescent="0.25">
      <c r="A594">
        <v>711</v>
      </c>
      <c r="B594" s="6">
        <v>45215</v>
      </c>
      <c r="C594" s="5" t="s">
        <v>615</v>
      </c>
      <c r="D594" s="5" t="s">
        <v>2</v>
      </c>
      <c r="E594">
        <v>26</v>
      </c>
      <c r="F594" s="5" t="s">
        <v>374</v>
      </c>
      <c r="G594">
        <v>3</v>
      </c>
      <c r="H594">
        <v>500</v>
      </c>
      <c r="I594">
        <v>1500</v>
      </c>
      <c r="J594" t="s">
        <v>22</v>
      </c>
      <c r="K594" t="s">
        <v>1029</v>
      </c>
      <c r="L594" t="s">
        <v>1038</v>
      </c>
      <c r="M594" t="s">
        <v>1047</v>
      </c>
      <c r="N594">
        <v>10</v>
      </c>
      <c r="O594" t="s">
        <v>1049</v>
      </c>
    </row>
    <row r="595" spans="1:15" x14ac:dyDescent="0.25">
      <c r="A595">
        <v>725</v>
      </c>
      <c r="B595" s="6">
        <v>45159</v>
      </c>
      <c r="C595" s="5" t="s">
        <v>616</v>
      </c>
      <c r="D595" s="5" t="s">
        <v>2</v>
      </c>
      <c r="E595">
        <v>61</v>
      </c>
      <c r="F595" s="5" t="s">
        <v>374</v>
      </c>
      <c r="G595">
        <v>1</v>
      </c>
      <c r="H595">
        <v>300</v>
      </c>
      <c r="I595">
        <v>300</v>
      </c>
      <c r="J595" t="s">
        <v>24</v>
      </c>
      <c r="K595" t="s">
        <v>1030</v>
      </c>
      <c r="L595" t="s">
        <v>1038</v>
      </c>
      <c r="M595" t="s">
        <v>1033</v>
      </c>
      <c r="N595">
        <v>8</v>
      </c>
      <c r="O595" t="s">
        <v>1051</v>
      </c>
    </row>
    <row r="596" spans="1:15" x14ac:dyDescent="0.25">
      <c r="A596">
        <v>728</v>
      </c>
      <c r="B596" s="6">
        <v>45121</v>
      </c>
      <c r="C596" s="5" t="s">
        <v>617</v>
      </c>
      <c r="D596" s="5" t="s">
        <v>2</v>
      </c>
      <c r="E596">
        <v>51</v>
      </c>
      <c r="F596" s="5" t="s">
        <v>374</v>
      </c>
      <c r="G596">
        <v>3</v>
      </c>
      <c r="H596">
        <v>50</v>
      </c>
      <c r="I596">
        <v>150</v>
      </c>
      <c r="J596" t="s">
        <v>20</v>
      </c>
      <c r="K596" t="s">
        <v>1028</v>
      </c>
      <c r="L596" t="s">
        <v>1038</v>
      </c>
      <c r="M596" t="s">
        <v>1033</v>
      </c>
      <c r="N596">
        <v>7</v>
      </c>
      <c r="O596" t="s">
        <v>1046</v>
      </c>
    </row>
    <row r="597" spans="1:15" x14ac:dyDescent="0.25">
      <c r="A597">
        <v>732</v>
      </c>
      <c r="B597" s="6">
        <v>44968</v>
      </c>
      <c r="C597" s="5" t="s">
        <v>618</v>
      </c>
      <c r="D597" s="5" t="s">
        <v>2</v>
      </c>
      <c r="E597">
        <v>61</v>
      </c>
      <c r="F597" s="5" t="s">
        <v>374</v>
      </c>
      <c r="G597">
        <v>2</v>
      </c>
      <c r="H597">
        <v>500</v>
      </c>
      <c r="I597">
        <v>1000</v>
      </c>
      <c r="J597" t="s">
        <v>24</v>
      </c>
      <c r="K597" t="s">
        <v>1030</v>
      </c>
      <c r="L597" t="s">
        <v>1038</v>
      </c>
      <c r="M597" t="s">
        <v>1039</v>
      </c>
      <c r="N597">
        <v>2</v>
      </c>
      <c r="O597" t="s">
        <v>1044</v>
      </c>
    </row>
    <row r="598" spans="1:15" x14ac:dyDescent="0.25">
      <c r="A598">
        <v>742</v>
      </c>
      <c r="B598" s="6">
        <v>44947</v>
      </c>
      <c r="C598" s="5" t="s">
        <v>619</v>
      </c>
      <c r="D598" s="5" t="s">
        <v>1</v>
      </c>
      <c r="E598">
        <v>38</v>
      </c>
      <c r="F598" s="5" t="s">
        <v>374</v>
      </c>
      <c r="G598">
        <v>4</v>
      </c>
      <c r="H598">
        <v>500</v>
      </c>
      <c r="I598">
        <v>2000</v>
      </c>
      <c r="J598" t="s">
        <v>20</v>
      </c>
      <c r="K598" t="s">
        <v>1028</v>
      </c>
      <c r="L598" t="s">
        <v>1038</v>
      </c>
      <c r="M598" t="s">
        <v>1039</v>
      </c>
      <c r="N598">
        <v>1</v>
      </c>
      <c r="O598" t="s">
        <v>1045</v>
      </c>
    </row>
    <row r="599" spans="1:15" x14ac:dyDescent="0.25">
      <c r="A599">
        <v>744</v>
      </c>
      <c r="B599" s="6">
        <v>45053</v>
      </c>
      <c r="C599" s="5" t="s">
        <v>620</v>
      </c>
      <c r="D599" s="5" t="s">
        <v>2</v>
      </c>
      <c r="E599">
        <v>40</v>
      </c>
      <c r="F599" s="5" t="s">
        <v>374</v>
      </c>
      <c r="G599">
        <v>1</v>
      </c>
      <c r="H599">
        <v>25</v>
      </c>
      <c r="I599">
        <v>25</v>
      </c>
      <c r="J599" t="s">
        <v>20</v>
      </c>
      <c r="K599" t="s">
        <v>1028</v>
      </c>
      <c r="L599" t="s">
        <v>1038</v>
      </c>
      <c r="M599" t="s">
        <v>1041</v>
      </c>
      <c r="N599">
        <v>5</v>
      </c>
      <c r="O599" t="s">
        <v>1032</v>
      </c>
    </row>
    <row r="600" spans="1:15" x14ac:dyDescent="0.25">
      <c r="A600">
        <v>754</v>
      </c>
      <c r="B600" s="6">
        <v>45215</v>
      </c>
      <c r="C600" s="5" t="s">
        <v>621</v>
      </c>
      <c r="D600" s="5" t="s">
        <v>1</v>
      </c>
      <c r="E600">
        <v>43</v>
      </c>
      <c r="F600" s="5" t="s">
        <v>374</v>
      </c>
      <c r="G600">
        <v>4</v>
      </c>
      <c r="H600">
        <v>25</v>
      </c>
      <c r="I600">
        <v>100</v>
      </c>
      <c r="J600" t="s">
        <v>20</v>
      </c>
      <c r="K600" t="s">
        <v>1028</v>
      </c>
      <c r="L600" t="s">
        <v>1038</v>
      </c>
      <c r="M600" t="s">
        <v>1047</v>
      </c>
      <c r="N600">
        <v>10</v>
      </c>
      <c r="O600" t="s">
        <v>1049</v>
      </c>
    </row>
    <row r="601" spans="1:15" x14ac:dyDescent="0.25">
      <c r="A601">
        <v>756</v>
      </c>
      <c r="B601" s="6">
        <v>45165</v>
      </c>
      <c r="C601" s="5" t="s">
        <v>622</v>
      </c>
      <c r="D601" s="5" t="s">
        <v>1</v>
      </c>
      <c r="E601">
        <v>62</v>
      </c>
      <c r="F601" s="5" t="s">
        <v>374</v>
      </c>
      <c r="G601">
        <v>4</v>
      </c>
      <c r="H601">
        <v>300</v>
      </c>
      <c r="I601">
        <v>1200</v>
      </c>
      <c r="J601" t="s">
        <v>24</v>
      </c>
      <c r="K601" t="s">
        <v>1030</v>
      </c>
      <c r="L601" t="s">
        <v>1038</v>
      </c>
      <c r="M601" t="s">
        <v>1033</v>
      </c>
      <c r="N601">
        <v>8</v>
      </c>
      <c r="O601" t="s">
        <v>1051</v>
      </c>
    </row>
    <row r="602" spans="1:15" x14ac:dyDescent="0.25">
      <c r="A602">
        <v>757</v>
      </c>
      <c r="B602" s="6">
        <v>45285</v>
      </c>
      <c r="C602" s="5" t="s">
        <v>623</v>
      </c>
      <c r="D602" s="5" t="s">
        <v>1</v>
      </c>
      <c r="E602">
        <v>43</v>
      </c>
      <c r="F602" s="5" t="s">
        <v>374</v>
      </c>
      <c r="G602">
        <v>4</v>
      </c>
      <c r="H602">
        <v>300</v>
      </c>
      <c r="I602">
        <v>1200</v>
      </c>
      <c r="J602" t="s">
        <v>20</v>
      </c>
      <c r="K602" t="s">
        <v>1028</v>
      </c>
      <c r="L602" t="s">
        <v>1038</v>
      </c>
      <c r="M602" t="s">
        <v>1047</v>
      </c>
      <c r="N602">
        <v>12</v>
      </c>
      <c r="O602" t="s">
        <v>1052</v>
      </c>
    </row>
    <row r="603" spans="1:15" x14ac:dyDescent="0.25">
      <c r="A603">
        <v>759</v>
      </c>
      <c r="B603" s="6">
        <v>45115</v>
      </c>
      <c r="C603" s="5" t="s">
        <v>624</v>
      </c>
      <c r="D603" s="5" t="s">
        <v>2</v>
      </c>
      <c r="E603">
        <v>49</v>
      </c>
      <c r="F603" s="5" t="s">
        <v>374</v>
      </c>
      <c r="G603">
        <v>2</v>
      </c>
      <c r="H603">
        <v>50</v>
      </c>
      <c r="I603">
        <v>100</v>
      </c>
      <c r="J603" t="s">
        <v>20</v>
      </c>
      <c r="K603" t="s">
        <v>1028</v>
      </c>
      <c r="L603" t="s">
        <v>1038</v>
      </c>
      <c r="M603" t="s">
        <v>1033</v>
      </c>
      <c r="N603">
        <v>7</v>
      </c>
      <c r="O603" t="s">
        <v>1046</v>
      </c>
    </row>
    <row r="604" spans="1:15" x14ac:dyDescent="0.25">
      <c r="A604">
        <v>762</v>
      </c>
      <c r="B604" s="6">
        <v>45237</v>
      </c>
      <c r="C604" s="5" t="s">
        <v>625</v>
      </c>
      <c r="D604" s="5" t="s">
        <v>1</v>
      </c>
      <c r="E604">
        <v>24</v>
      </c>
      <c r="F604" s="5" t="s">
        <v>374</v>
      </c>
      <c r="G604">
        <v>2</v>
      </c>
      <c r="H604">
        <v>25</v>
      </c>
      <c r="I604">
        <v>50</v>
      </c>
      <c r="J604" t="s">
        <v>22</v>
      </c>
      <c r="K604" t="s">
        <v>1029</v>
      </c>
      <c r="L604" t="s">
        <v>1038</v>
      </c>
      <c r="M604" t="s">
        <v>1047</v>
      </c>
      <c r="N604">
        <v>11</v>
      </c>
      <c r="O604" t="s">
        <v>1048</v>
      </c>
    </row>
    <row r="605" spans="1:15" x14ac:dyDescent="0.25">
      <c r="A605">
        <v>766</v>
      </c>
      <c r="B605" s="6">
        <v>44982</v>
      </c>
      <c r="C605" s="5" t="s">
        <v>626</v>
      </c>
      <c r="D605" s="5" t="s">
        <v>2</v>
      </c>
      <c r="E605">
        <v>38</v>
      </c>
      <c r="F605" s="5" t="s">
        <v>374</v>
      </c>
      <c r="G605">
        <v>3</v>
      </c>
      <c r="H605">
        <v>300</v>
      </c>
      <c r="I605">
        <v>900</v>
      </c>
      <c r="J605" t="s">
        <v>20</v>
      </c>
      <c r="K605" t="s">
        <v>1028</v>
      </c>
      <c r="L605" t="s">
        <v>1038</v>
      </c>
      <c r="M605" t="s">
        <v>1039</v>
      </c>
      <c r="N605">
        <v>2</v>
      </c>
      <c r="O605" t="s">
        <v>1044</v>
      </c>
    </row>
    <row r="606" spans="1:15" x14ac:dyDescent="0.25">
      <c r="A606">
        <v>769</v>
      </c>
      <c r="B606" s="6">
        <v>45086</v>
      </c>
      <c r="C606" s="5" t="s">
        <v>627</v>
      </c>
      <c r="D606" s="5" t="s">
        <v>1</v>
      </c>
      <c r="E606">
        <v>31</v>
      </c>
      <c r="F606" s="5" t="s">
        <v>374</v>
      </c>
      <c r="G606">
        <v>4</v>
      </c>
      <c r="H606">
        <v>30</v>
      </c>
      <c r="I606">
        <v>120</v>
      </c>
      <c r="J606" t="s">
        <v>20</v>
      </c>
      <c r="K606" t="s">
        <v>1028</v>
      </c>
      <c r="L606" t="s">
        <v>1038</v>
      </c>
      <c r="M606" t="s">
        <v>1041</v>
      </c>
      <c r="N606">
        <v>6</v>
      </c>
      <c r="O606" t="s">
        <v>1050</v>
      </c>
    </row>
    <row r="607" spans="1:15" x14ac:dyDescent="0.25">
      <c r="A607">
        <v>771</v>
      </c>
      <c r="B607" s="6">
        <v>45273</v>
      </c>
      <c r="C607" s="5" t="s">
        <v>628</v>
      </c>
      <c r="D607" s="5" t="s">
        <v>2</v>
      </c>
      <c r="E607">
        <v>24</v>
      </c>
      <c r="F607" s="5" t="s">
        <v>374</v>
      </c>
      <c r="G607">
        <v>2</v>
      </c>
      <c r="H607">
        <v>25</v>
      </c>
      <c r="I607">
        <v>50</v>
      </c>
      <c r="J607" t="s">
        <v>22</v>
      </c>
      <c r="K607" t="s">
        <v>1029</v>
      </c>
      <c r="L607" t="s">
        <v>1038</v>
      </c>
      <c r="M607" t="s">
        <v>1047</v>
      </c>
      <c r="N607">
        <v>12</v>
      </c>
      <c r="O607" t="s">
        <v>1052</v>
      </c>
    </row>
    <row r="608" spans="1:15" x14ac:dyDescent="0.25">
      <c r="A608">
        <v>772</v>
      </c>
      <c r="B608" s="6">
        <v>45119</v>
      </c>
      <c r="C608" s="5" t="s">
        <v>629</v>
      </c>
      <c r="D608" s="5" t="s">
        <v>2</v>
      </c>
      <c r="E608">
        <v>26</v>
      </c>
      <c r="F608" s="5" t="s">
        <v>374</v>
      </c>
      <c r="G608">
        <v>1</v>
      </c>
      <c r="H608">
        <v>30</v>
      </c>
      <c r="I608">
        <v>30</v>
      </c>
      <c r="J608" t="s">
        <v>22</v>
      </c>
      <c r="K608" t="s">
        <v>1029</v>
      </c>
      <c r="L608" t="s">
        <v>1038</v>
      </c>
      <c r="M608" t="s">
        <v>1033</v>
      </c>
      <c r="N608">
        <v>7</v>
      </c>
      <c r="O608" t="s">
        <v>1046</v>
      </c>
    </row>
    <row r="609" spans="1:15" x14ac:dyDescent="0.25">
      <c r="A609">
        <v>773</v>
      </c>
      <c r="B609" s="6">
        <v>45130</v>
      </c>
      <c r="C609" s="5" t="s">
        <v>630</v>
      </c>
      <c r="D609" s="5" t="s">
        <v>2</v>
      </c>
      <c r="E609">
        <v>25</v>
      </c>
      <c r="F609" s="5" t="s">
        <v>374</v>
      </c>
      <c r="G609">
        <v>4</v>
      </c>
      <c r="H609">
        <v>500</v>
      </c>
      <c r="I609">
        <v>2000</v>
      </c>
      <c r="J609" t="s">
        <v>22</v>
      </c>
      <c r="K609" t="s">
        <v>1029</v>
      </c>
      <c r="L609" t="s">
        <v>1038</v>
      </c>
      <c r="M609" t="s">
        <v>1033</v>
      </c>
      <c r="N609">
        <v>7</v>
      </c>
      <c r="O609" t="s">
        <v>1046</v>
      </c>
    </row>
    <row r="610" spans="1:15" x14ac:dyDescent="0.25">
      <c r="A610">
        <v>775</v>
      </c>
      <c r="B610" s="6">
        <v>44965</v>
      </c>
      <c r="C610" s="5" t="s">
        <v>631</v>
      </c>
      <c r="D610" s="5" t="s">
        <v>1</v>
      </c>
      <c r="E610">
        <v>46</v>
      </c>
      <c r="F610" s="5" t="s">
        <v>374</v>
      </c>
      <c r="G610">
        <v>4</v>
      </c>
      <c r="H610">
        <v>25</v>
      </c>
      <c r="I610">
        <v>100</v>
      </c>
      <c r="J610" t="s">
        <v>20</v>
      </c>
      <c r="K610" t="s">
        <v>1028</v>
      </c>
      <c r="L610" t="s">
        <v>1038</v>
      </c>
      <c r="M610" t="s">
        <v>1039</v>
      </c>
      <c r="N610">
        <v>2</v>
      </c>
      <c r="O610" t="s">
        <v>1044</v>
      </c>
    </row>
    <row r="611" spans="1:15" x14ac:dyDescent="0.25">
      <c r="A611">
        <v>777</v>
      </c>
      <c r="B611" s="6">
        <v>45280</v>
      </c>
      <c r="C611" s="5" t="s">
        <v>632</v>
      </c>
      <c r="D611" s="5" t="s">
        <v>2</v>
      </c>
      <c r="E611">
        <v>48</v>
      </c>
      <c r="F611" s="5" t="s">
        <v>374</v>
      </c>
      <c r="G611">
        <v>3</v>
      </c>
      <c r="H611">
        <v>50</v>
      </c>
      <c r="I611">
        <v>150</v>
      </c>
      <c r="J611" t="s">
        <v>20</v>
      </c>
      <c r="K611" t="s">
        <v>1028</v>
      </c>
      <c r="L611" t="s">
        <v>1038</v>
      </c>
      <c r="M611" t="s">
        <v>1047</v>
      </c>
      <c r="N611">
        <v>12</v>
      </c>
      <c r="O611" t="s">
        <v>1052</v>
      </c>
    </row>
    <row r="612" spans="1:15" x14ac:dyDescent="0.25">
      <c r="A612">
        <v>779</v>
      </c>
      <c r="B612" s="6">
        <v>45051</v>
      </c>
      <c r="C612" s="5" t="s">
        <v>633</v>
      </c>
      <c r="D612" s="5" t="s">
        <v>1</v>
      </c>
      <c r="E612">
        <v>56</v>
      </c>
      <c r="F612" s="5" t="s">
        <v>374</v>
      </c>
      <c r="G612">
        <v>2</v>
      </c>
      <c r="H612">
        <v>500</v>
      </c>
      <c r="I612">
        <v>1000</v>
      </c>
      <c r="J612" t="s">
        <v>24</v>
      </c>
      <c r="K612" t="s">
        <v>1030</v>
      </c>
      <c r="L612" t="s">
        <v>1038</v>
      </c>
      <c r="M612" t="s">
        <v>1041</v>
      </c>
      <c r="N612">
        <v>5</v>
      </c>
      <c r="O612" t="s">
        <v>1032</v>
      </c>
    </row>
    <row r="613" spans="1:15" x14ac:dyDescent="0.25">
      <c r="A613">
        <v>780</v>
      </c>
      <c r="B613" s="6">
        <v>44979</v>
      </c>
      <c r="C613" s="5" t="s">
        <v>634</v>
      </c>
      <c r="D613" s="5" t="s">
        <v>2</v>
      </c>
      <c r="E613">
        <v>52</v>
      </c>
      <c r="F613" s="5" t="s">
        <v>374</v>
      </c>
      <c r="G613">
        <v>2</v>
      </c>
      <c r="H613">
        <v>25</v>
      </c>
      <c r="I613">
        <v>50</v>
      </c>
      <c r="J613" t="s">
        <v>20</v>
      </c>
      <c r="K613" t="s">
        <v>1028</v>
      </c>
      <c r="L613" t="s">
        <v>1038</v>
      </c>
      <c r="M613" t="s">
        <v>1039</v>
      </c>
      <c r="N613">
        <v>2</v>
      </c>
      <c r="O613" t="s">
        <v>1044</v>
      </c>
    </row>
    <row r="614" spans="1:15" x14ac:dyDescent="0.25">
      <c r="A614">
        <v>784</v>
      </c>
      <c r="B614" s="6">
        <v>45234</v>
      </c>
      <c r="C614" s="5" t="s">
        <v>635</v>
      </c>
      <c r="D614" s="5" t="s">
        <v>1</v>
      </c>
      <c r="E614">
        <v>34</v>
      </c>
      <c r="F614" s="5" t="s">
        <v>374</v>
      </c>
      <c r="G614">
        <v>1</v>
      </c>
      <c r="H614">
        <v>500</v>
      </c>
      <c r="I614">
        <v>500</v>
      </c>
      <c r="J614" t="s">
        <v>20</v>
      </c>
      <c r="K614" t="s">
        <v>1028</v>
      </c>
      <c r="L614" t="s">
        <v>1038</v>
      </c>
      <c r="M614" t="s">
        <v>1047</v>
      </c>
      <c r="N614">
        <v>11</v>
      </c>
      <c r="O614" t="s">
        <v>1048</v>
      </c>
    </row>
    <row r="615" spans="1:15" x14ac:dyDescent="0.25">
      <c r="A615">
        <v>787</v>
      </c>
      <c r="B615" s="6">
        <v>44948</v>
      </c>
      <c r="C615" s="5" t="s">
        <v>636</v>
      </c>
      <c r="D615" s="5" t="s">
        <v>2</v>
      </c>
      <c r="E615">
        <v>41</v>
      </c>
      <c r="F615" s="5" t="s">
        <v>374</v>
      </c>
      <c r="G615">
        <v>1</v>
      </c>
      <c r="H615">
        <v>25</v>
      </c>
      <c r="I615">
        <v>25</v>
      </c>
      <c r="J615" t="s">
        <v>20</v>
      </c>
      <c r="K615" t="s">
        <v>1028</v>
      </c>
      <c r="L615" t="s">
        <v>1038</v>
      </c>
      <c r="M615" t="s">
        <v>1039</v>
      </c>
      <c r="N615">
        <v>1</v>
      </c>
      <c r="O615" t="s">
        <v>1045</v>
      </c>
    </row>
    <row r="616" spans="1:15" x14ac:dyDescent="0.25">
      <c r="A616">
        <v>795</v>
      </c>
      <c r="B616" s="6">
        <v>45258</v>
      </c>
      <c r="C616" s="5" t="s">
        <v>637</v>
      </c>
      <c r="D616" s="5" t="s">
        <v>2</v>
      </c>
      <c r="E616">
        <v>57</v>
      </c>
      <c r="F616" s="5" t="s">
        <v>374</v>
      </c>
      <c r="G616">
        <v>1</v>
      </c>
      <c r="H616">
        <v>300</v>
      </c>
      <c r="I616">
        <v>300</v>
      </c>
      <c r="J616" t="s">
        <v>24</v>
      </c>
      <c r="K616" t="s">
        <v>1030</v>
      </c>
      <c r="L616" t="s">
        <v>1038</v>
      </c>
      <c r="M616" t="s">
        <v>1047</v>
      </c>
      <c r="N616">
        <v>11</v>
      </c>
      <c r="O616" t="s">
        <v>1048</v>
      </c>
    </row>
    <row r="617" spans="1:15" x14ac:dyDescent="0.25">
      <c r="A617">
        <v>799</v>
      </c>
      <c r="B617" s="6">
        <v>45177</v>
      </c>
      <c r="C617" s="5" t="s">
        <v>638</v>
      </c>
      <c r="D617" s="5" t="s">
        <v>2</v>
      </c>
      <c r="E617">
        <v>56</v>
      </c>
      <c r="F617" s="5" t="s">
        <v>374</v>
      </c>
      <c r="G617">
        <v>2</v>
      </c>
      <c r="H617">
        <v>50</v>
      </c>
      <c r="I617">
        <v>100</v>
      </c>
      <c r="J617" t="s">
        <v>24</v>
      </c>
      <c r="K617" t="s">
        <v>1030</v>
      </c>
      <c r="L617" t="s">
        <v>1038</v>
      </c>
      <c r="M617" t="s">
        <v>1033</v>
      </c>
      <c r="N617">
        <v>9</v>
      </c>
      <c r="O617" t="s">
        <v>1043</v>
      </c>
    </row>
    <row r="618" spans="1:15" x14ac:dyDescent="0.25">
      <c r="A618">
        <v>804</v>
      </c>
      <c r="B618" s="6">
        <v>45162</v>
      </c>
      <c r="C618" s="5" t="s">
        <v>639</v>
      </c>
      <c r="D618" s="5" t="s">
        <v>2</v>
      </c>
      <c r="E618">
        <v>42</v>
      </c>
      <c r="F618" s="5" t="s">
        <v>374</v>
      </c>
      <c r="G618">
        <v>1</v>
      </c>
      <c r="H618">
        <v>30</v>
      </c>
      <c r="I618">
        <v>30</v>
      </c>
      <c r="J618" t="s">
        <v>20</v>
      </c>
      <c r="K618" t="s">
        <v>1028</v>
      </c>
      <c r="L618" t="s">
        <v>1038</v>
      </c>
      <c r="M618" t="s">
        <v>1033</v>
      </c>
      <c r="N618">
        <v>8</v>
      </c>
      <c r="O618" t="s">
        <v>1051</v>
      </c>
    </row>
    <row r="619" spans="1:15" x14ac:dyDescent="0.25">
      <c r="A619">
        <v>807</v>
      </c>
      <c r="B619" s="6">
        <v>45149</v>
      </c>
      <c r="C619" s="5" t="s">
        <v>640</v>
      </c>
      <c r="D619" s="5" t="s">
        <v>1</v>
      </c>
      <c r="E619">
        <v>50</v>
      </c>
      <c r="F619" s="5" t="s">
        <v>374</v>
      </c>
      <c r="G619">
        <v>4</v>
      </c>
      <c r="H619">
        <v>50</v>
      </c>
      <c r="I619">
        <v>200</v>
      </c>
      <c r="J619" t="s">
        <v>20</v>
      </c>
      <c r="K619" t="s">
        <v>1028</v>
      </c>
      <c r="L619" t="s">
        <v>1038</v>
      </c>
      <c r="M619" t="s">
        <v>1033</v>
      </c>
      <c r="N619">
        <v>8</v>
      </c>
      <c r="O619" t="s">
        <v>1051</v>
      </c>
    </row>
    <row r="620" spans="1:15" x14ac:dyDescent="0.25">
      <c r="A620">
        <v>810</v>
      </c>
      <c r="B620" s="6">
        <v>45260</v>
      </c>
      <c r="C620" s="5" t="s">
        <v>641</v>
      </c>
      <c r="D620" s="5" t="s">
        <v>2</v>
      </c>
      <c r="E620">
        <v>59</v>
      </c>
      <c r="F620" s="5" t="s">
        <v>374</v>
      </c>
      <c r="G620">
        <v>4</v>
      </c>
      <c r="H620">
        <v>25</v>
      </c>
      <c r="I620">
        <v>100</v>
      </c>
      <c r="J620" t="s">
        <v>24</v>
      </c>
      <c r="K620" t="s">
        <v>1030</v>
      </c>
      <c r="L620" t="s">
        <v>1038</v>
      </c>
      <c r="M620" t="s">
        <v>1047</v>
      </c>
      <c r="N620">
        <v>11</v>
      </c>
      <c r="O620" t="s">
        <v>1048</v>
      </c>
    </row>
    <row r="621" spans="1:15" x14ac:dyDescent="0.25">
      <c r="A621">
        <v>812</v>
      </c>
      <c r="B621" s="6">
        <v>45242</v>
      </c>
      <c r="C621" s="5" t="s">
        <v>642</v>
      </c>
      <c r="D621" s="5" t="s">
        <v>2</v>
      </c>
      <c r="E621">
        <v>19</v>
      </c>
      <c r="F621" s="5" t="s">
        <v>374</v>
      </c>
      <c r="G621">
        <v>3</v>
      </c>
      <c r="H621">
        <v>25</v>
      </c>
      <c r="I621">
        <v>75</v>
      </c>
      <c r="J621" t="s">
        <v>22</v>
      </c>
      <c r="K621" t="s">
        <v>1029</v>
      </c>
      <c r="L621" t="s">
        <v>1038</v>
      </c>
      <c r="M621" t="s">
        <v>1047</v>
      </c>
      <c r="N621">
        <v>11</v>
      </c>
      <c r="O621" t="s">
        <v>1048</v>
      </c>
    </row>
    <row r="622" spans="1:15" x14ac:dyDescent="0.25">
      <c r="A622">
        <v>813</v>
      </c>
      <c r="B622" s="6">
        <v>45202</v>
      </c>
      <c r="C622" s="5" t="s">
        <v>643</v>
      </c>
      <c r="D622" s="5" t="s">
        <v>2</v>
      </c>
      <c r="E622">
        <v>52</v>
      </c>
      <c r="F622" s="5" t="s">
        <v>374</v>
      </c>
      <c r="G622">
        <v>3</v>
      </c>
      <c r="H622">
        <v>50</v>
      </c>
      <c r="I622">
        <v>150</v>
      </c>
      <c r="J622" t="s">
        <v>20</v>
      </c>
      <c r="K622" t="s">
        <v>1028</v>
      </c>
      <c r="L622" t="s">
        <v>1038</v>
      </c>
      <c r="M622" t="s">
        <v>1047</v>
      </c>
      <c r="N622">
        <v>10</v>
      </c>
      <c r="O622" t="s">
        <v>1049</v>
      </c>
    </row>
    <row r="623" spans="1:15" x14ac:dyDescent="0.25">
      <c r="A623">
        <v>818</v>
      </c>
      <c r="B623" s="6">
        <v>45064</v>
      </c>
      <c r="C623" s="5" t="s">
        <v>644</v>
      </c>
      <c r="D623" s="5" t="s">
        <v>2</v>
      </c>
      <c r="E623">
        <v>30</v>
      </c>
      <c r="F623" s="5" t="s">
        <v>374</v>
      </c>
      <c r="G623">
        <v>1</v>
      </c>
      <c r="H623">
        <v>500</v>
      </c>
      <c r="I623">
        <v>500</v>
      </c>
      <c r="J623" t="s">
        <v>20</v>
      </c>
      <c r="K623" t="s">
        <v>1028</v>
      </c>
      <c r="L623" t="s">
        <v>1038</v>
      </c>
      <c r="M623" t="s">
        <v>1041</v>
      </c>
      <c r="N623">
        <v>5</v>
      </c>
      <c r="O623" t="s">
        <v>1032</v>
      </c>
    </row>
    <row r="624" spans="1:15" x14ac:dyDescent="0.25">
      <c r="A624">
        <v>820</v>
      </c>
      <c r="B624" s="6">
        <v>45052</v>
      </c>
      <c r="C624" s="5" t="s">
        <v>645</v>
      </c>
      <c r="D624" s="5" t="s">
        <v>2</v>
      </c>
      <c r="E624">
        <v>49</v>
      </c>
      <c r="F624" s="5" t="s">
        <v>374</v>
      </c>
      <c r="G624">
        <v>4</v>
      </c>
      <c r="H624">
        <v>50</v>
      </c>
      <c r="I624">
        <v>200</v>
      </c>
      <c r="J624" t="s">
        <v>20</v>
      </c>
      <c r="K624" t="s">
        <v>1028</v>
      </c>
      <c r="L624" t="s">
        <v>1038</v>
      </c>
      <c r="M624" t="s">
        <v>1041</v>
      </c>
      <c r="N624">
        <v>5</v>
      </c>
      <c r="O624" t="s">
        <v>1032</v>
      </c>
    </row>
    <row r="625" spans="1:15" x14ac:dyDescent="0.25">
      <c r="A625">
        <v>821</v>
      </c>
      <c r="B625" s="6">
        <v>44971</v>
      </c>
      <c r="C625" s="5" t="s">
        <v>646</v>
      </c>
      <c r="D625" s="5" t="s">
        <v>2</v>
      </c>
      <c r="E625">
        <v>49</v>
      </c>
      <c r="F625" s="5" t="s">
        <v>374</v>
      </c>
      <c r="G625">
        <v>1</v>
      </c>
      <c r="H625">
        <v>300</v>
      </c>
      <c r="I625">
        <v>300</v>
      </c>
      <c r="J625" t="s">
        <v>20</v>
      </c>
      <c r="K625" t="s">
        <v>1028</v>
      </c>
      <c r="L625" t="s">
        <v>1038</v>
      </c>
      <c r="M625" t="s">
        <v>1039</v>
      </c>
      <c r="N625">
        <v>2</v>
      </c>
      <c r="O625" t="s">
        <v>1044</v>
      </c>
    </row>
    <row r="626" spans="1:15" x14ac:dyDescent="0.25">
      <c r="A626">
        <v>823</v>
      </c>
      <c r="B626" s="6">
        <v>45157</v>
      </c>
      <c r="C626" s="5" t="s">
        <v>647</v>
      </c>
      <c r="D626" s="5" t="s">
        <v>1</v>
      </c>
      <c r="E626">
        <v>56</v>
      </c>
      <c r="F626" s="5" t="s">
        <v>374</v>
      </c>
      <c r="G626">
        <v>2</v>
      </c>
      <c r="H626">
        <v>50</v>
      </c>
      <c r="I626">
        <v>100</v>
      </c>
      <c r="J626" t="s">
        <v>24</v>
      </c>
      <c r="K626" t="s">
        <v>1030</v>
      </c>
      <c r="L626" t="s">
        <v>1038</v>
      </c>
      <c r="M626" t="s">
        <v>1033</v>
      </c>
      <c r="N626">
        <v>8</v>
      </c>
      <c r="O626" t="s">
        <v>1051</v>
      </c>
    </row>
    <row r="627" spans="1:15" x14ac:dyDescent="0.25">
      <c r="A627">
        <v>828</v>
      </c>
      <c r="B627" s="6">
        <v>45269</v>
      </c>
      <c r="C627" s="5" t="s">
        <v>648</v>
      </c>
      <c r="D627" s="5" t="s">
        <v>1</v>
      </c>
      <c r="E627">
        <v>33</v>
      </c>
      <c r="F627" s="5" t="s">
        <v>374</v>
      </c>
      <c r="G627">
        <v>4</v>
      </c>
      <c r="H627">
        <v>300</v>
      </c>
      <c r="I627">
        <v>1200</v>
      </c>
      <c r="J627" t="s">
        <v>20</v>
      </c>
      <c r="K627" t="s">
        <v>1028</v>
      </c>
      <c r="L627" t="s">
        <v>1038</v>
      </c>
      <c r="M627" t="s">
        <v>1047</v>
      </c>
      <c r="N627">
        <v>12</v>
      </c>
      <c r="O627" t="s">
        <v>1052</v>
      </c>
    </row>
    <row r="628" spans="1:15" x14ac:dyDescent="0.25">
      <c r="A628">
        <v>831</v>
      </c>
      <c r="B628" s="6">
        <v>44941</v>
      </c>
      <c r="C628" s="5" t="s">
        <v>649</v>
      </c>
      <c r="D628" s="5" t="s">
        <v>2</v>
      </c>
      <c r="E628">
        <v>27</v>
      </c>
      <c r="F628" s="5" t="s">
        <v>374</v>
      </c>
      <c r="G628">
        <v>4</v>
      </c>
      <c r="H628">
        <v>25</v>
      </c>
      <c r="I628">
        <v>100</v>
      </c>
      <c r="J628" t="s">
        <v>22</v>
      </c>
      <c r="K628" t="s">
        <v>1029</v>
      </c>
      <c r="L628" t="s">
        <v>1038</v>
      </c>
      <c r="M628" t="s">
        <v>1039</v>
      </c>
      <c r="N628">
        <v>1</v>
      </c>
      <c r="O628" t="s">
        <v>1045</v>
      </c>
    </row>
    <row r="629" spans="1:15" x14ac:dyDescent="0.25">
      <c r="A629">
        <v>838</v>
      </c>
      <c r="B629" s="6">
        <v>45059</v>
      </c>
      <c r="C629" s="5" t="s">
        <v>650</v>
      </c>
      <c r="D629" s="5" t="s">
        <v>2</v>
      </c>
      <c r="E629">
        <v>47</v>
      </c>
      <c r="F629" s="5" t="s">
        <v>374</v>
      </c>
      <c r="G629">
        <v>2</v>
      </c>
      <c r="H629">
        <v>300</v>
      </c>
      <c r="I629">
        <v>600</v>
      </c>
      <c r="J629" t="s">
        <v>20</v>
      </c>
      <c r="K629" t="s">
        <v>1028</v>
      </c>
      <c r="L629" t="s">
        <v>1038</v>
      </c>
      <c r="M629" t="s">
        <v>1041</v>
      </c>
      <c r="N629">
        <v>5</v>
      </c>
      <c r="O629" t="s">
        <v>1032</v>
      </c>
    </row>
    <row r="630" spans="1:15" x14ac:dyDescent="0.25">
      <c r="A630">
        <v>839</v>
      </c>
      <c r="B630" s="6">
        <v>45101</v>
      </c>
      <c r="C630" s="5" t="s">
        <v>651</v>
      </c>
      <c r="D630" s="5" t="s">
        <v>1</v>
      </c>
      <c r="E630">
        <v>20</v>
      </c>
      <c r="F630" s="5" t="s">
        <v>374</v>
      </c>
      <c r="G630">
        <v>4</v>
      </c>
      <c r="H630">
        <v>300</v>
      </c>
      <c r="I630">
        <v>1200</v>
      </c>
      <c r="J630" t="s">
        <v>22</v>
      </c>
      <c r="K630" t="s">
        <v>1029</v>
      </c>
      <c r="L630" t="s">
        <v>1038</v>
      </c>
      <c r="M630" t="s">
        <v>1041</v>
      </c>
      <c r="N630">
        <v>6</v>
      </c>
      <c r="O630" t="s">
        <v>1050</v>
      </c>
    </row>
    <row r="631" spans="1:15" x14ac:dyDescent="0.25">
      <c r="A631">
        <v>841</v>
      </c>
      <c r="B631" s="6">
        <v>45232</v>
      </c>
      <c r="C631" s="5" t="s">
        <v>652</v>
      </c>
      <c r="D631" s="5" t="s">
        <v>2</v>
      </c>
      <c r="E631">
        <v>31</v>
      </c>
      <c r="F631" s="5" t="s">
        <v>374</v>
      </c>
      <c r="G631">
        <v>4</v>
      </c>
      <c r="H631">
        <v>25</v>
      </c>
      <c r="I631">
        <v>100</v>
      </c>
      <c r="J631" t="s">
        <v>20</v>
      </c>
      <c r="K631" t="s">
        <v>1028</v>
      </c>
      <c r="L631" t="s">
        <v>1038</v>
      </c>
      <c r="M631" t="s">
        <v>1047</v>
      </c>
      <c r="N631">
        <v>11</v>
      </c>
      <c r="O631" t="s">
        <v>1048</v>
      </c>
    </row>
    <row r="632" spans="1:15" x14ac:dyDescent="0.25">
      <c r="A632">
        <v>847</v>
      </c>
      <c r="B632" s="6">
        <v>45024</v>
      </c>
      <c r="C632" s="5" t="s">
        <v>653</v>
      </c>
      <c r="D632" s="5" t="s">
        <v>1</v>
      </c>
      <c r="E632">
        <v>18</v>
      </c>
      <c r="F632" s="5" t="s">
        <v>374</v>
      </c>
      <c r="G632">
        <v>4</v>
      </c>
      <c r="H632">
        <v>300</v>
      </c>
      <c r="I632">
        <v>1200</v>
      </c>
      <c r="J632" t="s">
        <v>22</v>
      </c>
      <c r="K632" t="s">
        <v>1029</v>
      </c>
      <c r="L632" t="s">
        <v>1038</v>
      </c>
      <c r="M632" t="s">
        <v>1041</v>
      </c>
      <c r="N632">
        <v>4</v>
      </c>
      <c r="O632" t="s">
        <v>1042</v>
      </c>
    </row>
    <row r="633" spans="1:15" x14ac:dyDescent="0.25">
      <c r="A633">
        <v>851</v>
      </c>
      <c r="B633" s="6">
        <v>45177</v>
      </c>
      <c r="C633" s="5" t="s">
        <v>654</v>
      </c>
      <c r="D633" s="5" t="s">
        <v>2</v>
      </c>
      <c r="E633">
        <v>32</v>
      </c>
      <c r="F633" s="5" t="s">
        <v>374</v>
      </c>
      <c r="G633">
        <v>2</v>
      </c>
      <c r="H633">
        <v>25</v>
      </c>
      <c r="I633">
        <v>50</v>
      </c>
      <c r="J633" t="s">
        <v>20</v>
      </c>
      <c r="K633" t="s">
        <v>1028</v>
      </c>
      <c r="L633" t="s">
        <v>1038</v>
      </c>
      <c r="M633" t="s">
        <v>1033</v>
      </c>
      <c r="N633">
        <v>9</v>
      </c>
      <c r="O633" t="s">
        <v>1043</v>
      </c>
    </row>
    <row r="634" spans="1:15" x14ac:dyDescent="0.25">
      <c r="A634">
        <v>856</v>
      </c>
      <c r="B634" s="6">
        <v>45257</v>
      </c>
      <c r="C634" s="5" t="s">
        <v>655</v>
      </c>
      <c r="D634" s="5" t="s">
        <v>2</v>
      </c>
      <c r="E634">
        <v>54</v>
      </c>
      <c r="F634" s="5" t="s">
        <v>374</v>
      </c>
      <c r="G634">
        <v>4</v>
      </c>
      <c r="H634">
        <v>30</v>
      </c>
      <c r="I634">
        <v>120</v>
      </c>
      <c r="J634" t="s">
        <v>20</v>
      </c>
      <c r="K634" t="s">
        <v>1028</v>
      </c>
      <c r="L634" t="s">
        <v>1038</v>
      </c>
      <c r="M634" t="s">
        <v>1047</v>
      </c>
      <c r="N634">
        <v>11</v>
      </c>
      <c r="O634" t="s">
        <v>1048</v>
      </c>
    </row>
    <row r="635" spans="1:15" x14ac:dyDescent="0.25">
      <c r="A635">
        <v>857</v>
      </c>
      <c r="B635" s="6">
        <v>45291</v>
      </c>
      <c r="C635" s="5" t="s">
        <v>656</v>
      </c>
      <c r="D635" s="5" t="s">
        <v>2</v>
      </c>
      <c r="E635">
        <v>60</v>
      </c>
      <c r="F635" s="5" t="s">
        <v>374</v>
      </c>
      <c r="G635">
        <v>2</v>
      </c>
      <c r="H635">
        <v>25</v>
      </c>
      <c r="I635">
        <v>50</v>
      </c>
      <c r="J635" t="s">
        <v>24</v>
      </c>
      <c r="K635" t="s">
        <v>1030</v>
      </c>
      <c r="L635" t="s">
        <v>1038</v>
      </c>
      <c r="M635" t="s">
        <v>1047</v>
      </c>
      <c r="N635">
        <v>12</v>
      </c>
      <c r="O635" t="s">
        <v>1052</v>
      </c>
    </row>
    <row r="636" spans="1:15" x14ac:dyDescent="0.25">
      <c r="A636">
        <v>858</v>
      </c>
      <c r="B636" s="6">
        <v>45178</v>
      </c>
      <c r="C636" s="5" t="s">
        <v>657</v>
      </c>
      <c r="D636" s="5" t="s">
        <v>2</v>
      </c>
      <c r="E636">
        <v>23</v>
      </c>
      <c r="F636" s="5" t="s">
        <v>374</v>
      </c>
      <c r="G636">
        <v>2</v>
      </c>
      <c r="H636">
        <v>50</v>
      </c>
      <c r="I636">
        <v>100</v>
      </c>
      <c r="J636" t="s">
        <v>22</v>
      </c>
      <c r="K636" t="s">
        <v>1029</v>
      </c>
      <c r="L636" t="s">
        <v>1038</v>
      </c>
      <c r="M636" t="s">
        <v>1033</v>
      </c>
      <c r="N636">
        <v>9</v>
      </c>
      <c r="O636" t="s">
        <v>1043</v>
      </c>
    </row>
    <row r="637" spans="1:15" x14ac:dyDescent="0.25">
      <c r="A637">
        <v>859</v>
      </c>
      <c r="B637" s="6">
        <v>45156</v>
      </c>
      <c r="C637" s="5" t="s">
        <v>658</v>
      </c>
      <c r="D637" s="5" t="s">
        <v>1</v>
      </c>
      <c r="E637">
        <v>56</v>
      </c>
      <c r="F637" s="5" t="s">
        <v>374</v>
      </c>
      <c r="G637">
        <v>3</v>
      </c>
      <c r="H637">
        <v>500</v>
      </c>
      <c r="I637">
        <v>1500</v>
      </c>
      <c r="J637" t="s">
        <v>24</v>
      </c>
      <c r="K637" t="s">
        <v>1030</v>
      </c>
      <c r="L637" t="s">
        <v>1038</v>
      </c>
      <c r="M637" t="s">
        <v>1033</v>
      </c>
      <c r="N637">
        <v>8</v>
      </c>
      <c r="O637" t="s">
        <v>1051</v>
      </c>
    </row>
    <row r="638" spans="1:15" x14ac:dyDescent="0.25">
      <c r="A638">
        <v>862</v>
      </c>
      <c r="B638" s="6">
        <v>45077</v>
      </c>
      <c r="C638" s="5" t="s">
        <v>659</v>
      </c>
      <c r="D638" s="5" t="s">
        <v>2</v>
      </c>
      <c r="E638">
        <v>28</v>
      </c>
      <c r="F638" s="5" t="s">
        <v>374</v>
      </c>
      <c r="G638">
        <v>4</v>
      </c>
      <c r="H638">
        <v>300</v>
      </c>
      <c r="I638">
        <v>1200</v>
      </c>
      <c r="J638" t="s">
        <v>22</v>
      </c>
      <c r="K638" t="s">
        <v>1029</v>
      </c>
      <c r="L638" t="s">
        <v>1038</v>
      </c>
      <c r="M638" t="s">
        <v>1041</v>
      </c>
      <c r="N638">
        <v>5</v>
      </c>
      <c r="O638" t="s">
        <v>1032</v>
      </c>
    </row>
    <row r="639" spans="1:15" x14ac:dyDescent="0.25">
      <c r="A639">
        <v>863</v>
      </c>
      <c r="B639" s="6">
        <v>45040</v>
      </c>
      <c r="C639" s="5" t="s">
        <v>660</v>
      </c>
      <c r="D639" s="5" t="s">
        <v>1</v>
      </c>
      <c r="E639">
        <v>30</v>
      </c>
      <c r="F639" s="5" t="s">
        <v>374</v>
      </c>
      <c r="G639">
        <v>2</v>
      </c>
      <c r="H639">
        <v>25</v>
      </c>
      <c r="I639">
        <v>50</v>
      </c>
      <c r="J639" t="s">
        <v>20</v>
      </c>
      <c r="K639" t="s">
        <v>1028</v>
      </c>
      <c r="L639" t="s">
        <v>1038</v>
      </c>
      <c r="M639" t="s">
        <v>1041</v>
      </c>
      <c r="N639">
        <v>4</v>
      </c>
      <c r="O639" t="s">
        <v>1042</v>
      </c>
    </row>
    <row r="640" spans="1:15" x14ac:dyDescent="0.25">
      <c r="A640">
        <v>864</v>
      </c>
      <c r="B640" s="6">
        <v>45134</v>
      </c>
      <c r="C640" s="5" t="s">
        <v>661</v>
      </c>
      <c r="D640" s="5" t="s">
        <v>1</v>
      </c>
      <c r="E640">
        <v>51</v>
      </c>
      <c r="F640" s="5" t="s">
        <v>374</v>
      </c>
      <c r="G640">
        <v>1</v>
      </c>
      <c r="H640">
        <v>500</v>
      </c>
      <c r="I640">
        <v>500</v>
      </c>
      <c r="J640" t="s">
        <v>20</v>
      </c>
      <c r="K640" t="s">
        <v>1028</v>
      </c>
      <c r="L640" t="s">
        <v>1038</v>
      </c>
      <c r="M640" t="s">
        <v>1033</v>
      </c>
      <c r="N640">
        <v>7</v>
      </c>
      <c r="O640" t="s">
        <v>1046</v>
      </c>
    </row>
    <row r="641" spans="1:15" x14ac:dyDescent="0.25">
      <c r="A641">
        <v>866</v>
      </c>
      <c r="B641" s="6">
        <v>45051</v>
      </c>
      <c r="C641" s="5" t="s">
        <v>662</v>
      </c>
      <c r="D641" s="5" t="s">
        <v>2</v>
      </c>
      <c r="E641">
        <v>24</v>
      </c>
      <c r="F641" s="5" t="s">
        <v>374</v>
      </c>
      <c r="G641">
        <v>1</v>
      </c>
      <c r="H641">
        <v>50</v>
      </c>
      <c r="I641">
        <v>50</v>
      </c>
      <c r="J641" t="s">
        <v>22</v>
      </c>
      <c r="K641" t="s">
        <v>1029</v>
      </c>
      <c r="L641" t="s">
        <v>1038</v>
      </c>
      <c r="M641" t="s">
        <v>1041</v>
      </c>
      <c r="N641">
        <v>5</v>
      </c>
      <c r="O641" t="s">
        <v>1032</v>
      </c>
    </row>
    <row r="642" spans="1:15" x14ac:dyDescent="0.25">
      <c r="A642">
        <v>867</v>
      </c>
      <c r="B642" s="6">
        <v>45083</v>
      </c>
      <c r="C642" s="5" t="s">
        <v>663</v>
      </c>
      <c r="D642" s="5" t="s">
        <v>2</v>
      </c>
      <c r="E642">
        <v>21</v>
      </c>
      <c r="F642" s="5" t="s">
        <v>374</v>
      </c>
      <c r="G642">
        <v>1</v>
      </c>
      <c r="H642">
        <v>500</v>
      </c>
      <c r="I642">
        <v>500</v>
      </c>
      <c r="J642" t="s">
        <v>22</v>
      </c>
      <c r="K642" t="s">
        <v>1029</v>
      </c>
      <c r="L642" t="s">
        <v>1038</v>
      </c>
      <c r="M642" t="s">
        <v>1041</v>
      </c>
      <c r="N642">
        <v>6</v>
      </c>
      <c r="O642" t="s">
        <v>1050</v>
      </c>
    </row>
    <row r="643" spans="1:15" x14ac:dyDescent="0.25">
      <c r="A643">
        <v>868</v>
      </c>
      <c r="B643" s="6">
        <v>45266</v>
      </c>
      <c r="C643" s="5" t="s">
        <v>664</v>
      </c>
      <c r="D643" s="5" t="s">
        <v>1</v>
      </c>
      <c r="E643">
        <v>25</v>
      </c>
      <c r="F643" s="5" t="s">
        <v>374</v>
      </c>
      <c r="G643">
        <v>1</v>
      </c>
      <c r="H643">
        <v>300</v>
      </c>
      <c r="I643">
        <v>300</v>
      </c>
      <c r="J643" t="s">
        <v>22</v>
      </c>
      <c r="K643" t="s">
        <v>1029</v>
      </c>
      <c r="L643" t="s">
        <v>1038</v>
      </c>
      <c r="M643" t="s">
        <v>1047</v>
      </c>
      <c r="N643">
        <v>12</v>
      </c>
      <c r="O643" t="s">
        <v>1052</v>
      </c>
    </row>
    <row r="644" spans="1:15" x14ac:dyDescent="0.25">
      <c r="A644">
        <v>870</v>
      </c>
      <c r="B644" s="6">
        <v>45115</v>
      </c>
      <c r="C644" s="5" t="s">
        <v>665</v>
      </c>
      <c r="D644" s="5" t="s">
        <v>1</v>
      </c>
      <c r="E644">
        <v>46</v>
      </c>
      <c r="F644" s="5" t="s">
        <v>374</v>
      </c>
      <c r="G644">
        <v>4</v>
      </c>
      <c r="H644">
        <v>30</v>
      </c>
      <c r="I644">
        <v>120</v>
      </c>
      <c r="J644" t="s">
        <v>20</v>
      </c>
      <c r="K644" t="s">
        <v>1028</v>
      </c>
      <c r="L644" t="s">
        <v>1038</v>
      </c>
      <c r="M644" t="s">
        <v>1033</v>
      </c>
      <c r="N644">
        <v>7</v>
      </c>
      <c r="O644" t="s">
        <v>1046</v>
      </c>
    </row>
    <row r="645" spans="1:15" x14ac:dyDescent="0.25">
      <c r="A645">
        <v>873</v>
      </c>
      <c r="B645" s="6">
        <v>45198</v>
      </c>
      <c r="C645" s="5" t="s">
        <v>666</v>
      </c>
      <c r="D645" s="5" t="s">
        <v>1</v>
      </c>
      <c r="E645">
        <v>27</v>
      </c>
      <c r="F645" s="5" t="s">
        <v>374</v>
      </c>
      <c r="G645">
        <v>4</v>
      </c>
      <c r="H645">
        <v>25</v>
      </c>
      <c r="I645">
        <v>100</v>
      </c>
      <c r="J645" t="s">
        <v>22</v>
      </c>
      <c r="K645" t="s">
        <v>1029</v>
      </c>
      <c r="L645" t="s">
        <v>1038</v>
      </c>
      <c r="M645" t="s">
        <v>1033</v>
      </c>
      <c r="N645">
        <v>9</v>
      </c>
      <c r="O645" t="s">
        <v>1043</v>
      </c>
    </row>
    <row r="646" spans="1:15" x14ac:dyDescent="0.25">
      <c r="A646">
        <v>875</v>
      </c>
      <c r="B646" s="6">
        <v>45144</v>
      </c>
      <c r="C646" s="5" t="s">
        <v>667</v>
      </c>
      <c r="D646" s="5" t="s">
        <v>1</v>
      </c>
      <c r="E646">
        <v>51</v>
      </c>
      <c r="F646" s="5" t="s">
        <v>374</v>
      </c>
      <c r="G646">
        <v>4</v>
      </c>
      <c r="H646">
        <v>500</v>
      </c>
      <c r="I646">
        <v>2000</v>
      </c>
      <c r="J646" t="s">
        <v>20</v>
      </c>
      <c r="K646" t="s">
        <v>1028</v>
      </c>
      <c r="L646" t="s">
        <v>1038</v>
      </c>
      <c r="M646" t="s">
        <v>1033</v>
      </c>
      <c r="N646">
        <v>8</v>
      </c>
      <c r="O646" t="s">
        <v>1051</v>
      </c>
    </row>
    <row r="647" spans="1:15" x14ac:dyDescent="0.25">
      <c r="A647">
        <v>881</v>
      </c>
      <c r="B647" s="6">
        <v>45065</v>
      </c>
      <c r="C647" s="5" t="s">
        <v>668</v>
      </c>
      <c r="D647" s="5" t="s">
        <v>2</v>
      </c>
      <c r="E647">
        <v>22</v>
      </c>
      <c r="F647" s="5" t="s">
        <v>374</v>
      </c>
      <c r="G647">
        <v>1</v>
      </c>
      <c r="H647">
        <v>300</v>
      </c>
      <c r="I647">
        <v>300</v>
      </c>
      <c r="J647" t="s">
        <v>22</v>
      </c>
      <c r="K647" t="s">
        <v>1029</v>
      </c>
      <c r="L647" t="s">
        <v>1038</v>
      </c>
      <c r="M647" t="s">
        <v>1041</v>
      </c>
      <c r="N647">
        <v>5</v>
      </c>
      <c r="O647" t="s">
        <v>1032</v>
      </c>
    </row>
    <row r="648" spans="1:15" x14ac:dyDescent="0.25">
      <c r="A648">
        <v>882</v>
      </c>
      <c r="B648" s="6">
        <v>45083</v>
      </c>
      <c r="C648" s="5" t="s">
        <v>669</v>
      </c>
      <c r="D648" s="5" t="s">
        <v>1</v>
      </c>
      <c r="E648">
        <v>64</v>
      </c>
      <c r="F648" s="5" t="s">
        <v>374</v>
      </c>
      <c r="G648">
        <v>2</v>
      </c>
      <c r="H648">
        <v>25</v>
      </c>
      <c r="I648">
        <v>50</v>
      </c>
      <c r="J648" t="s">
        <v>24</v>
      </c>
      <c r="K648" t="s">
        <v>1030</v>
      </c>
      <c r="L648" t="s">
        <v>1038</v>
      </c>
      <c r="M648" t="s">
        <v>1041</v>
      </c>
      <c r="N648">
        <v>6</v>
      </c>
      <c r="O648" t="s">
        <v>1050</v>
      </c>
    </row>
    <row r="649" spans="1:15" x14ac:dyDescent="0.25">
      <c r="A649">
        <v>883</v>
      </c>
      <c r="B649" s="6">
        <v>45055</v>
      </c>
      <c r="C649" s="5" t="s">
        <v>670</v>
      </c>
      <c r="D649" s="5" t="s">
        <v>2</v>
      </c>
      <c r="E649">
        <v>40</v>
      </c>
      <c r="F649" s="5" t="s">
        <v>374</v>
      </c>
      <c r="G649">
        <v>1</v>
      </c>
      <c r="H649">
        <v>500</v>
      </c>
      <c r="I649">
        <v>500</v>
      </c>
      <c r="J649" t="s">
        <v>20</v>
      </c>
      <c r="K649" t="s">
        <v>1028</v>
      </c>
      <c r="L649" t="s">
        <v>1038</v>
      </c>
      <c r="M649" t="s">
        <v>1041</v>
      </c>
      <c r="N649">
        <v>5</v>
      </c>
      <c r="O649" t="s">
        <v>1032</v>
      </c>
    </row>
    <row r="650" spans="1:15" x14ac:dyDescent="0.25">
      <c r="A650">
        <v>886</v>
      </c>
      <c r="B650" s="6">
        <v>45025</v>
      </c>
      <c r="C650" s="5" t="s">
        <v>671</v>
      </c>
      <c r="D650" s="5" t="s">
        <v>2</v>
      </c>
      <c r="E650">
        <v>37</v>
      </c>
      <c r="F650" s="5" t="s">
        <v>374</v>
      </c>
      <c r="G650">
        <v>3</v>
      </c>
      <c r="H650">
        <v>300</v>
      </c>
      <c r="I650">
        <v>900</v>
      </c>
      <c r="J650" t="s">
        <v>20</v>
      </c>
      <c r="K650" t="s">
        <v>1028</v>
      </c>
      <c r="L650" t="s">
        <v>1038</v>
      </c>
      <c r="M650" t="s">
        <v>1041</v>
      </c>
      <c r="N650">
        <v>4</v>
      </c>
      <c r="O650" t="s">
        <v>1042</v>
      </c>
    </row>
    <row r="651" spans="1:15" x14ac:dyDescent="0.25">
      <c r="A651">
        <v>888</v>
      </c>
      <c r="B651" s="6">
        <v>44988</v>
      </c>
      <c r="C651" s="5" t="s">
        <v>672</v>
      </c>
      <c r="D651" s="5" t="s">
        <v>1</v>
      </c>
      <c r="E651">
        <v>52</v>
      </c>
      <c r="F651" s="5" t="s">
        <v>374</v>
      </c>
      <c r="G651">
        <v>4</v>
      </c>
      <c r="H651">
        <v>25</v>
      </c>
      <c r="I651">
        <v>100</v>
      </c>
      <c r="J651" t="s">
        <v>20</v>
      </c>
      <c r="K651" t="s">
        <v>1028</v>
      </c>
      <c r="L651" t="s">
        <v>1038</v>
      </c>
      <c r="M651" t="s">
        <v>1039</v>
      </c>
      <c r="N651">
        <v>3</v>
      </c>
      <c r="O651" t="s">
        <v>1040</v>
      </c>
    </row>
    <row r="652" spans="1:15" x14ac:dyDescent="0.25">
      <c r="A652">
        <v>889</v>
      </c>
      <c r="B652" s="6">
        <v>45201</v>
      </c>
      <c r="C652" s="5" t="s">
        <v>673</v>
      </c>
      <c r="D652" s="5" t="s">
        <v>1</v>
      </c>
      <c r="E652">
        <v>35</v>
      </c>
      <c r="F652" s="5" t="s">
        <v>374</v>
      </c>
      <c r="G652">
        <v>1</v>
      </c>
      <c r="H652">
        <v>50</v>
      </c>
      <c r="I652">
        <v>50</v>
      </c>
      <c r="J652" t="s">
        <v>20</v>
      </c>
      <c r="K652" t="s">
        <v>1028</v>
      </c>
      <c r="L652" t="s">
        <v>1038</v>
      </c>
      <c r="M652" t="s">
        <v>1047</v>
      </c>
      <c r="N652">
        <v>10</v>
      </c>
      <c r="O652" t="s">
        <v>1049</v>
      </c>
    </row>
    <row r="653" spans="1:15" x14ac:dyDescent="0.25">
      <c r="A653">
        <v>890</v>
      </c>
      <c r="B653" s="6">
        <v>45280</v>
      </c>
      <c r="C653" s="5" t="s">
        <v>674</v>
      </c>
      <c r="D653" s="5" t="s">
        <v>2</v>
      </c>
      <c r="E653">
        <v>34</v>
      </c>
      <c r="F653" s="5" t="s">
        <v>374</v>
      </c>
      <c r="G653">
        <v>2</v>
      </c>
      <c r="H653">
        <v>25</v>
      </c>
      <c r="I653">
        <v>50</v>
      </c>
      <c r="J653" t="s">
        <v>20</v>
      </c>
      <c r="K653" t="s">
        <v>1028</v>
      </c>
      <c r="L653" t="s">
        <v>1038</v>
      </c>
      <c r="M653" t="s">
        <v>1047</v>
      </c>
      <c r="N653">
        <v>12</v>
      </c>
      <c r="O653" t="s">
        <v>1052</v>
      </c>
    </row>
    <row r="654" spans="1:15" x14ac:dyDescent="0.25">
      <c r="A654">
        <v>891</v>
      </c>
      <c r="B654" s="6">
        <v>45021</v>
      </c>
      <c r="C654" s="5" t="s">
        <v>675</v>
      </c>
      <c r="D654" s="5" t="s">
        <v>2</v>
      </c>
      <c r="E654">
        <v>41</v>
      </c>
      <c r="F654" s="5" t="s">
        <v>374</v>
      </c>
      <c r="G654">
        <v>3</v>
      </c>
      <c r="H654">
        <v>300</v>
      </c>
      <c r="I654">
        <v>900</v>
      </c>
      <c r="J654" t="s">
        <v>20</v>
      </c>
      <c r="K654" t="s">
        <v>1028</v>
      </c>
      <c r="L654" t="s">
        <v>1038</v>
      </c>
      <c r="M654" t="s">
        <v>1041</v>
      </c>
      <c r="N654">
        <v>4</v>
      </c>
      <c r="O654" t="s">
        <v>1042</v>
      </c>
    </row>
    <row r="655" spans="1:15" x14ac:dyDescent="0.25">
      <c r="A655">
        <v>892</v>
      </c>
      <c r="B655" s="6">
        <v>45025</v>
      </c>
      <c r="C655" s="5" t="s">
        <v>676</v>
      </c>
      <c r="D655" s="5" t="s">
        <v>2</v>
      </c>
      <c r="E655">
        <v>20</v>
      </c>
      <c r="F655" s="5" t="s">
        <v>374</v>
      </c>
      <c r="G655">
        <v>1</v>
      </c>
      <c r="H655">
        <v>50</v>
      </c>
      <c r="I655">
        <v>50</v>
      </c>
      <c r="J655" t="s">
        <v>22</v>
      </c>
      <c r="K655" t="s">
        <v>1029</v>
      </c>
      <c r="L655" t="s">
        <v>1038</v>
      </c>
      <c r="M655" t="s">
        <v>1041</v>
      </c>
      <c r="N655">
        <v>4</v>
      </c>
      <c r="O655" t="s">
        <v>1042</v>
      </c>
    </row>
    <row r="656" spans="1:15" x14ac:dyDescent="0.25">
      <c r="A656">
        <v>893</v>
      </c>
      <c r="B656" s="6">
        <v>45037</v>
      </c>
      <c r="C656" s="5" t="s">
        <v>677</v>
      </c>
      <c r="D656" s="5" t="s">
        <v>2</v>
      </c>
      <c r="E656">
        <v>49</v>
      </c>
      <c r="F656" s="5" t="s">
        <v>374</v>
      </c>
      <c r="G656">
        <v>1</v>
      </c>
      <c r="H656">
        <v>50</v>
      </c>
      <c r="I656">
        <v>50</v>
      </c>
      <c r="J656" t="s">
        <v>20</v>
      </c>
      <c r="K656" t="s">
        <v>1028</v>
      </c>
      <c r="L656" t="s">
        <v>1038</v>
      </c>
      <c r="M656" t="s">
        <v>1041</v>
      </c>
      <c r="N656">
        <v>4</v>
      </c>
      <c r="O656" t="s">
        <v>1042</v>
      </c>
    </row>
    <row r="657" spans="1:15" x14ac:dyDescent="0.25">
      <c r="A657">
        <v>894</v>
      </c>
      <c r="B657" s="6">
        <v>45174</v>
      </c>
      <c r="C657" s="5" t="s">
        <v>678</v>
      </c>
      <c r="D657" s="5" t="s">
        <v>2</v>
      </c>
      <c r="E657">
        <v>52</v>
      </c>
      <c r="F657" s="5" t="s">
        <v>374</v>
      </c>
      <c r="G657">
        <v>1</v>
      </c>
      <c r="H657">
        <v>30</v>
      </c>
      <c r="I657">
        <v>30</v>
      </c>
      <c r="J657" t="s">
        <v>20</v>
      </c>
      <c r="K657" t="s">
        <v>1028</v>
      </c>
      <c r="L657" t="s">
        <v>1038</v>
      </c>
      <c r="M657" t="s">
        <v>1033</v>
      </c>
      <c r="N657">
        <v>9</v>
      </c>
      <c r="O657" t="s">
        <v>1043</v>
      </c>
    </row>
    <row r="658" spans="1:15" x14ac:dyDescent="0.25">
      <c r="A658">
        <v>896</v>
      </c>
      <c r="B658" s="6">
        <v>45228</v>
      </c>
      <c r="C658" s="5" t="s">
        <v>679</v>
      </c>
      <c r="D658" s="5" t="s">
        <v>1</v>
      </c>
      <c r="E658">
        <v>30</v>
      </c>
      <c r="F658" s="5" t="s">
        <v>374</v>
      </c>
      <c r="G658">
        <v>2</v>
      </c>
      <c r="H658">
        <v>25</v>
      </c>
      <c r="I658">
        <v>50</v>
      </c>
      <c r="J658" t="s">
        <v>20</v>
      </c>
      <c r="K658" t="s">
        <v>1028</v>
      </c>
      <c r="L658" t="s">
        <v>1038</v>
      </c>
      <c r="M658" t="s">
        <v>1047</v>
      </c>
      <c r="N658">
        <v>10</v>
      </c>
      <c r="O658" t="s">
        <v>1049</v>
      </c>
    </row>
    <row r="659" spans="1:15" x14ac:dyDescent="0.25">
      <c r="A659">
        <v>897</v>
      </c>
      <c r="B659" s="6">
        <v>45195</v>
      </c>
      <c r="C659" s="5" t="s">
        <v>680</v>
      </c>
      <c r="D659" s="5" t="s">
        <v>1</v>
      </c>
      <c r="E659">
        <v>64</v>
      </c>
      <c r="F659" s="5" t="s">
        <v>374</v>
      </c>
      <c r="G659">
        <v>2</v>
      </c>
      <c r="H659">
        <v>50</v>
      </c>
      <c r="I659">
        <v>100</v>
      </c>
      <c r="J659" t="s">
        <v>24</v>
      </c>
      <c r="K659" t="s">
        <v>1030</v>
      </c>
      <c r="L659" t="s">
        <v>1038</v>
      </c>
      <c r="M659" t="s">
        <v>1033</v>
      </c>
      <c r="N659">
        <v>9</v>
      </c>
      <c r="O659" t="s">
        <v>1043</v>
      </c>
    </row>
    <row r="660" spans="1:15" x14ac:dyDescent="0.25">
      <c r="A660">
        <v>901</v>
      </c>
      <c r="B660" s="6">
        <v>45026</v>
      </c>
      <c r="C660" s="5" t="s">
        <v>681</v>
      </c>
      <c r="D660" s="5" t="s">
        <v>2</v>
      </c>
      <c r="E660">
        <v>31</v>
      </c>
      <c r="F660" s="5" t="s">
        <v>374</v>
      </c>
      <c r="G660">
        <v>1</v>
      </c>
      <c r="H660">
        <v>30</v>
      </c>
      <c r="I660">
        <v>30</v>
      </c>
      <c r="J660" t="s">
        <v>20</v>
      </c>
      <c r="K660" t="s">
        <v>1028</v>
      </c>
      <c r="L660" t="s">
        <v>1038</v>
      </c>
      <c r="M660" t="s">
        <v>1041</v>
      </c>
      <c r="N660">
        <v>4</v>
      </c>
      <c r="O660" t="s">
        <v>1042</v>
      </c>
    </row>
    <row r="661" spans="1:15" x14ac:dyDescent="0.25">
      <c r="A661">
        <v>907</v>
      </c>
      <c r="B661" s="6">
        <v>44934</v>
      </c>
      <c r="C661" s="5" t="s">
        <v>682</v>
      </c>
      <c r="D661" s="5" t="s">
        <v>1</v>
      </c>
      <c r="E661">
        <v>45</v>
      </c>
      <c r="F661" s="5" t="s">
        <v>374</v>
      </c>
      <c r="G661">
        <v>1</v>
      </c>
      <c r="H661">
        <v>25</v>
      </c>
      <c r="I661">
        <v>25</v>
      </c>
      <c r="J661" t="s">
        <v>20</v>
      </c>
      <c r="K661" t="s">
        <v>1028</v>
      </c>
      <c r="L661" t="s">
        <v>1038</v>
      </c>
      <c r="M661" t="s">
        <v>1039</v>
      </c>
      <c r="N661">
        <v>1</v>
      </c>
      <c r="O661" t="s">
        <v>1045</v>
      </c>
    </row>
    <row r="662" spans="1:15" x14ac:dyDescent="0.25">
      <c r="A662">
        <v>909</v>
      </c>
      <c r="B662" s="6">
        <v>45200</v>
      </c>
      <c r="C662" s="5" t="s">
        <v>683</v>
      </c>
      <c r="D662" s="5" t="s">
        <v>2</v>
      </c>
      <c r="E662">
        <v>26</v>
      </c>
      <c r="F662" s="5" t="s">
        <v>374</v>
      </c>
      <c r="G662">
        <v>1</v>
      </c>
      <c r="H662">
        <v>300</v>
      </c>
      <c r="I662">
        <v>300</v>
      </c>
      <c r="J662" t="s">
        <v>22</v>
      </c>
      <c r="K662" t="s">
        <v>1029</v>
      </c>
      <c r="L662" t="s">
        <v>1038</v>
      </c>
      <c r="M662" t="s">
        <v>1047</v>
      </c>
      <c r="N662">
        <v>10</v>
      </c>
      <c r="O662" t="s">
        <v>1049</v>
      </c>
    </row>
    <row r="663" spans="1:15" x14ac:dyDescent="0.25">
      <c r="A663">
        <v>911</v>
      </c>
      <c r="B663" s="6">
        <v>45067</v>
      </c>
      <c r="C663" s="5" t="s">
        <v>684</v>
      </c>
      <c r="D663" s="5" t="s">
        <v>2</v>
      </c>
      <c r="E663">
        <v>42</v>
      </c>
      <c r="F663" s="5" t="s">
        <v>374</v>
      </c>
      <c r="G663">
        <v>3</v>
      </c>
      <c r="H663">
        <v>300</v>
      </c>
      <c r="I663">
        <v>900</v>
      </c>
      <c r="J663" t="s">
        <v>20</v>
      </c>
      <c r="K663" t="s">
        <v>1028</v>
      </c>
      <c r="L663" t="s">
        <v>1038</v>
      </c>
      <c r="M663" t="s">
        <v>1041</v>
      </c>
      <c r="N663">
        <v>5</v>
      </c>
      <c r="O663" t="s">
        <v>1032</v>
      </c>
    </row>
    <row r="664" spans="1:15" x14ac:dyDescent="0.25">
      <c r="A664">
        <v>913</v>
      </c>
      <c r="B664" s="6">
        <v>44954</v>
      </c>
      <c r="C664" s="5" t="s">
        <v>685</v>
      </c>
      <c r="D664" s="5" t="s">
        <v>2</v>
      </c>
      <c r="E664">
        <v>29</v>
      </c>
      <c r="F664" s="5" t="s">
        <v>374</v>
      </c>
      <c r="G664">
        <v>3</v>
      </c>
      <c r="H664">
        <v>30</v>
      </c>
      <c r="I664">
        <v>90</v>
      </c>
      <c r="J664" t="s">
        <v>22</v>
      </c>
      <c r="K664" t="s">
        <v>1029</v>
      </c>
      <c r="L664" t="s">
        <v>1038</v>
      </c>
      <c r="M664" t="s">
        <v>1039</v>
      </c>
      <c r="N664">
        <v>1</v>
      </c>
      <c r="O664" t="s">
        <v>1045</v>
      </c>
    </row>
    <row r="665" spans="1:15" x14ac:dyDescent="0.25">
      <c r="A665">
        <v>914</v>
      </c>
      <c r="B665" s="6">
        <v>45210</v>
      </c>
      <c r="C665" s="5" t="s">
        <v>686</v>
      </c>
      <c r="D665" s="5" t="s">
        <v>1</v>
      </c>
      <c r="E665">
        <v>59</v>
      </c>
      <c r="F665" s="5" t="s">
        <v>374</v>
      </c>
      <c r="G665">
        <v>1</v>
      </c>
      <c r="H665">
        <v>500</v>
      </c>
      <c r="I665">
        <v>500</v>
      </c>
      <c r="J665" t="s">
        <v>24</v>
      </c>
      <c r="K665" t="s">
        <v>1030</v>
      </c>
      <c r="L665" t="s">
        <v>1038</v>
      </c>
      <c r="M665" t="s">
        <v>1047</v>
      </c>
      <c r="N665">
        <v>10</v>
      </c>
      <c r="O665" t="s">
        <v>1049</v>
      </c>
    </row>
    <row r="666" spans="1:15" x14ac:dyDescent="0.25">
      <c r="A666">
        <v>916</v>
      </c>
      <c r="B666" s="6">
        <v>45284</v>
      </c>
      <c r="C666" s="5" t="s">
        <v>687</v>
      </c>
      <c r="D666" s="5" t="s">
        <v>1</v>
      </c>
      <c r="E666">
        <v>32</v>
      </c>
      <c r="F666" s="5" t="s">
        <v>374</v>
      </c>
      <c r="G666">
        <v>1</v>
      </c>
      <c r="H666">
        <v>50</v>
      </c>
      <c r="I666">
        <v>50</v>
      </c>
      <c r="J666" t="s">
        <v>20</v>
      </c>
      <c r="K666" t="s">
        <v>1028</v>
      </c>
      <c r="L666" t="s">
        <v>1038</v>
      </c>
      <c r="M666" t="s">
        <v>1047</v>
      </c>
      <c r="N666">
        <v>12</v>
      </c>
      <c r="O666" t="s">
        <v>1052</v>
      </c>
    </row>
    <row r="667" spans="1:15" x14ac:dyDescent="0.25">
      <c r="A667">
        <v>917</v>
      </c>
      <c r="B667" s="6">
        <v>44991</v>
      </c>
      <c r="C667" s="5" t="s">
        <v>688</v>
      </c>
      <c r="D667" s="5" t="s">
        <v>1</v>
      </c>
      <c r="E667">
        <v>57</v>
      </c>
      <c r="F667" s="5" t="s">
        <v>374</v>
      </c>
      <c r="G667">
        <v>4</v>
      </c>
      <c r="H667">
        <v>50</v>
      </c>
      <c r="I667">
        <v>200</v>
      </c>
      <c r="J667" t="s">
        <v>24</v>
      </c>
      <c r="K667" t="s">
        <v>1030</v>
      </c>
      <c r="L667" t="s">
        <v>1038</v>
      </c>
      <c r="M667" t="s">
        <v>1039</v>
      </c>
      <c r="N667">
        <v>3</v>
      </c>
      <c r="O667" t="s">
        <v>1040</v>
      </c>
    </row>
    <row r="668" spans="1:15" x14ac:dyDescent="0.25">
      <c r="A668">
        <v>918</v>
      </c>
      <c r="B668" s="6">
        <v>45253</v>
      </c>
      <c r="C668" s="5" t="s">
        <v>689</v>
      </c>
      <c r="D668" s="5" t="s">
        <v>1</v>
      </c>
      <c r="E668">
        <v>42</v>
      </c>
      <c r="F668" s="5" t="s">
        <v>374</v>
      </c>
      <c r="G668">
        <v>3</v>
      </c>
      <c r="H668">
        <v>30</v>
      </c>
      <c r="I668">
        <v>90</v>
      </c>
      <c r="J668" t="s">
        <v>20</v>
      </c>
      <c r="K668" t="s">
        <v>1028</v>
      </c>
      <c r="L668" t="s">
        <v>1038</v>
      </c>
      <c r="M668" t="s">
        <v>1047</v>
      </c>
      <c r="N668">
        <v>11</v>
      </c>
      <c r="O668" t="s">
        <v>1048</v>
      </c>
    </row>
    <row r="669" spans="1:15" x14ac:dyDescent="0.25">
      <c r="A669">
        <v>921</v>
      </c>
      <c r="B669" s="6">
        <v>44933</v>
      </c>
      <c r="C669" s="5" t="s">
        <v>690</v>
      </c>
      <c r="D669" s="5" t="s">
        <v>2</v>
      </c>
      <c r="E669">
        <v>51</v>
      </c>
      <c r="F669" s="5" t="s">
        <v>374</v>
      </c>
      <c r="G669">
        <v>3</v>
      </c>
      <c r="H669">
        <v>25</v>
      </c>
      <c r="I669">
        <v>75</v>
      </c>
      <c r="J669" t="s">
        <v>20</v>
      </c>
      <c r="K669" t="s">
        <v>1028</v>
      </c>
      <c r="L669" t="s">
        <v>1038</v>
      </c>
      <c r="M669" t="s">
        <v>1039</v>
      </c>
      <c r="N669">
        <v>1</v>
      </c>
      <c r="O669" t="s">
        <v>1045</v>
      </c>
    </row>
    <row r="670" spans="1:15" x14ac:dyDescent="0.25">
      <c r="A670">
        <v>922</v>
      </c>
      <c r="B670" s="6">
        <v>45220</v>
      </c>
      <c r="C670" s="5" t="s">
        <v>691</v>
      </c>
      <c r="D670" s="5" t="s">
        <v>2</v>
      </c>
      <c r="E670">
        <v>41</v>
      </c>
      <c r="F670" s="5" t="s">
        <v>374</v>
      </c>
      <c r="G670">
        <v>1</v>
      </c>
      <c r="H670">
        <v>50</v>
      </c>
      <c r="I670">
        <v>50</v>
      </c>
      <c r="J670" t="s">
        <v>20</v>
      </c>
      <c r="K670" t="s">
        <v>1028</v>
      </c>
      <c r="L670" t="s">
        <v>1038</v>
      </c>
      <c r="M670" t="s">
        <v>1047</v>
      </c>
      <c r="N670">
        <v>10</v>
      </c>
      <c r="O670" t="s">
        <v>1049</v>
      </c>
    </row>
    <row r="671" spans="1:15" x14ac:dyDescent="0.25">
      <c r="A671">
        <v>925</v>
      </c>
      <c r="B671" s="6">
        <v>45172</v>
      </c>
      <c r="C671" s="5" t="s">
        <v>692</v>
      </c>
      <c r="D671" s="5" t="s">
        <v>2</v>
      </c>
      <c r="E671">
        <v>25</v>
      </c>
      <c r="F671" s="5" t="s">
        <v>374</v>
      </c>
      <c r="G671">
        <v>1</v>
      </c>
      <c r="H671">
        <v>300</v>
      </c>
      <c r="I671">
        <v>300</v>
      </c>
      <c r="J671" t="s">
        <v>22</v>
      </c>
      <c r="K671" t="s">
        <v>1029</v>
      </c>
      <c r="L671" t="s">
        <v>1038</v>
      </c>
      <c r="M671" t="s">
        <v>1033</v>
      </c>
      <c r="N671">
        <v>9</v>
      </c>
      <c r="O671" t="s">
        <v>1043</v>
      </c>
    </row>
    <row r="672" spans="1:15" x14ac:dyDescent="0.25">
      <c r="A672">
        <v>926</v>
      </c>
      <c r="B672" s="6">
        <v>45152</v>
      </c>
      <c r="C672" s="5" t="s">
        <v>693</v>
      </c>
      <c r="D672" s="5" t="s">
        <v>2</v>
      </c>
      <c r="E672">
        <v>22</v>
      </c>
      <c r="F672" s="5" t="s">
        <v>374</v>
      </c>
      <c r="G672">
        <v>1</v>
      </c>
      <c r="H672">
        <v>30</v>
      </c>
      <c r="I672">
        <v>30</v>
      </c>
      <c r="J672" t="s">
        <v>22</v>
      </c>
      <c r="K672" t="s">
        <v>1029</v>
      </c>
      <c r="L672" t="s">
        <v>1038</v>
      </c>
      <c r="M672" t="s">
        <v>1033</v>
      </c>
      <c r="N672">
        <v>8</v>
      </c>
      <c r="O672" t="s">
        <v>1051</v>
      </c>
    </row>
    <row r="673" spans="1:15" x14ac:dyDescent="0.25">
      <c r="A673">
        <v>927</v>
      </c>
      <c r="B673" s="6">
        <v>45101</v>
      </c>
      <c r="C673" s="5" t="s">
        <v>694</v>
      </c>
      <c r="D673" s="5" t="s">
        <v>2</v>
      </c>
      <c r="E673">
        <v>43</v>
      </c>
      <c r="F673" s="5" t="s">
        <v>374</v>
      </c>
      <c r="G673">
        <v>4</v>
      </c>
      <c r="H673">
        <v>500</v>
      </c>
      <c r="I673">
        <v>2000</v>
      </c>
      <c r="J673" t="s">
        <v>20</v>
      </c>
      <c r="K673" t="s">
        <v>1028</v>
      </c>
      <c r="L673" t="s">
        <v>1038</v>
      </c>
      <c r="M673" t="s">
        <v>1041</v>
      </c>
      <c r="N673">
        <v>6</v>
      </c>
      <c r="O673" t="s">
        <v>1050</v>
      </c>
    </row>
    <row r="674" spans="1:15" x14ac:dyDescent="0.25">
      <c r="A674">
        <v>939</v>
      </c>
      <c r="B674" s="6">
        <v>45278</v>
      </c>
      <c r="C674" s="5" t="s">
        <v>695</v>
      </c>
      <c r="D674" s="5" t="s">
        <v>1</v>
      </c>
      <c r="E674">
        <v>46</v>
      </c>
      <c r="F674" s="5" t="s">
        <v>374</v>
      </c>
      <c r="G674">
        <v>1</v>
      </c>
      <c r="H674">
        <v>300</v>
      </c>
      <c r="I674">
        <v>300</v>
      </c>
      <c r="J674" t="s">
        <v>20</v>
      </c>
      <c r="K674" t="s">
        <v>1028</v>
      </c>
      <c r="L674" t="s">
        <v>1038</v>
      </c>
      <c r="M674" t="s">
        <v>1047</v>
      </c>
      <c r="N674">
        <v>12</v>
      </c>
      <c r="O674" t="s">
        <v>1052</v>
      </c>
    </row>
    <row r="675" spans="1:15" x14ac:dyDescent="0.25">
      <c r="A675">
        <v>940</v>
      </c>
      <c r="B675" s="6">
        <v>44954</v>
      </c>
      <c r="C675" s="5" t="s">
        <v>696</v>
      </c>
      <c r="D675" s="5" t="s">
        <v>1</v>
      </c>
      <c r="E675">
        <v>20</v>
      </c>
      <c r="F675" s="5" t="s">
        <v>374</v>
      </c>
      <c r="G675">
        <v>1</v>
      </c>
      <c r="H675">
        <v>30</v>
      </c>
      <c r="I675">
        <v>30</v>
      </c>
      <c r="J675" t="s">
        <v>22</v>
      </c>
      <c r="K675" t="s">
        <v>1029</v>
      </c>
      <c r="L675" t="s">
        <v>1038</v>
      </c>
      <c r="M675" t="s">
        <v>1039</v>
      </c>
      <c r="N675">
        <v>1</v>
      </c>
      <c r="O675" t="s">
        <v>1045</v>
      </c>
    </row>
    <row r="676" spans="1:15" x14ac:dyDescent="0.25">
      <c r="A676">
        <v>946</v>
      </c>
      <c r="B676" s="6">
        <v>45054</v>
      </c>
      <c r="C676" s="5" t="s">
        <v>697</v>
      </c>
      <c r="D676" s="5" t="s">
        <v>2</v>
      </c>
      <c r="E676">
        <v>62</v>
      </c>
      <c r="F676" s="5" t="s">
        <v>374</v>
      </c>
      <c r="G676">
        <v>4</v>
      </c>
      <c r="H676">
        <v>500</v>
      </c>
      <c r="I676">
        <v>2000</v>
      </c>
      <c r="J676" t="s">
        <v>24</v>
      </c>
      <c r="K676" t="s">
        <v>1030</v>
      </c>
      <c r="L676" t="s">
        <v>1038</v>
      </c>
      <c r="M676" t="s">
        <v>1041</v>
      </c>
      <c r="N676">
        <v>5</v>
      </c>
      <c r="O676" t="s">
        <v>1032</v>
      </c>
    </row>
    <row r="677" spans="1:15" x14ac:dyDescent="0.25">
      <c r="A677">
        <v>948</v>
      </c>
      <c r="B677" s="6">
        <v>45212</v>
      </c>
      <c r="C677" s="5" t="s">
        <v>698</v>
      </c>
      <c r="D677" s="5" t="s">
        <v>1</v>
      </c>
      <c r="E677">
        <v>23</v>
      </c>
      <c r="F677" s="5" t="s">
        <v>374</v>
      </c>
      <c r="G677">
        <v>3</v>
      </c>
      <c r="H677">
        <v>25</v>
      </c>
      <c r="I677">
        <v>75</v>
      </c>
      <c r="J677" t="s">
        <v>22</v>
      </c>
      <c r="K677" t="s">
        <v>1029</v>
      </c>
      <c r="L677" t="s">
        <v>1038</v>
      </c>
      <c r="M677" t="s">
        <v>1047</v>
      </c>
      <c r="N677">
        <v>10</v>
      </c>
      <c r="O677" t="s">
        <v>1049</v>
      </c>
    </row>
    <row r="678" spans="1:15" x14ac:dyDescent="0.25">
      <c r="A678">
        <v>949</v>
      </c>
      <c r="B678" s="6">
        <v>45140</v>
      </c>
      <c r="C678" s="5" t="s">
        <v>699</v>
      </c>
      <c r="D678" s="5" t="s">
        <v>1</v>
      </c>
      <c r="E678">
        <v>41</v>
      </c>
      <c r="F678" s="5" t="s">
        <v>374</v>
      </c>
      <c r="G678">
        <v>2</v>
      </c>
      <c r="H678">
        <v>25</v>
      </c>
      <c r="I678">
        <v>50</v>
      </c>
      <c r="J678" t="s">
        <v>20</v>
      </c>
      <c r="K678" t="s">
        <v>1028</v>
      </c>
      <c r="L678" t="s">
        <v>1038</v>
      </c>
      <c r="M678" t="s">
        <v>1033</v>
      </c>
      <c r="N678">
        <v>8</v>
      </c>
      <c r="O678" t="s">
        <v>1051</v>
      </c>
    </row>
    <row r="679" spans="1:15" x14ac:dyDescent="0.25">
      <c r="A679">
        <v>954</v>
      </c>
      <c r="B679" s="6">
        <v>45194</v>
      </c>
      <c r="C679" s="5" t="s">
        <v>700</v>
      </c>
      <c r="D679" s="5" t="s">
        <v>1</v>
      </c>
      <c r="E679">
        <v>50</v>
      </c>
      <c r="F679" s="5" t="s">
        <v>374</v>
      </c>
      <c r="G679">
        <v>3</v>
      </c>
      <c r="H679">
        <v>300</v>
      </c>
      <c r="I679">
        <v>900</v>
      </c>
      <c r="J679" t="s">
        <v>20</v>
      </c>
      <c r="K679" t="s">
        <v>1028</v>
      </c>
      <c r="L679" t="s">
        <v>1038</v>
      </c>
      <c r="M679" t="s">
        <v>1033</v>
      </c>
      <c r="N679">
        <v>9</v>
      </c>
      <c r="O679" t="s">
        <v>1043</v>
      </c>
    </row>
    <row r="680" spans="1:15" x14ac:dyDescent="0.25">
      <c r="A680">
        <v>957</v>
      </c>
      <c r="B680" s="6">
        <v>45153</v>
      </c>
      <c r="C680" s="5" t="s">
        <v>701</v>
      </c>
      <c r="D680" s="5" t="s">
        <v>1</v>
      </c>
      <c r="E680">
        <v>60</v>
      </c>
      <c r="F680" s="5" t="s">
        <v>374</v>
      </c>
      <c r="G680">
        <v>4</v>
      </c>
      <c r="H680">
        <v>30</v>
      </c>
      <c r="I680">
        <v>120</v>
      </c>
      <c r="J680" t="s">
        <v>24</v>
      </c>
      <c r="K680" t="s">
        <v>1030</v>
      </c>
      <c r="L680" t="s">
        <v>1038</v>
      </c>
      <c r="M680" t="s">
        <v>1033</v>
      </c>
      <c r="N680">
        <v>8</v>
      </c>
      <c r="O680" t="s">
        <v>1051</v>
      </c>
    </row>
    <row r="681" spans="1:15" x14ac:dyDescent="0.25">
      <c r="A681">
        <v>958</v>
      </c>
      <c r="B681" s="6">
        <v>45079</v>
      </c>
      <c r="C681" s="5" t="s">
        <v>702</v>
      </c>
      <c r="D681" s="5" t="s">
        <v>2</v>
      </c>
      <c r="E681">
        <v>62</v>
      </c>
      <c r="F681" s="5" t="s">
        <v>374</v>
      </c>
      <c r="G681">
        <v>2</v>
      </c>
      <c r="H681">
        <v>25</v>
      </c>
      <c r="I681">
        <v>50</v>
      </c>
      <c r="J681" t="s">
        <v>24</v>
      </c>
      <c r="K681" t="s">
        <v>1030</v>
      </c>
      <c r="L681" t="s">
        <v>1038</v>
      </c>
      <c r="M681" t="s">
        <v>1041</v>
      </c>
      <c r="N681">
        <v>6</v>
      </c>
      <c r="O681" t="s">
        <v>1050</v>
      </c>
    </row>
    <row r="682" spans="1:15" x14ac:dyDescent="0.25">
      <c r="A682">
        <v>959</v>
      </c>
      <c r="B682" s="6">
        <v>45228</v>
      </c>
      <c r="C682" s="5" t="s">
        <v>703</v>
      </c>
      <c r="D682" s="5" t="s">
        <v>1</v>
      </c>
      <c r="E682">
        <v>42</v>
      </c>
      <c r="F682" s="5" t="s">
        <v>374</v>
      </c>
      <c r="G682">
        <v>2</v>
      </c>
      <c r="H682">
        <v>30</v>
      </c>
      <c r="I682">
        <v>60</v>
      </c>
      <c r="J682" t="s">
        <v>20</v>
      </c>
      <c r="K682" t="s">
        <v>1028</v>
      </c>
      <c r="L682" t="s">
        <v>1038</v>
      </c>
      <c r="M682" t="s">
        <v>1047</v>
      </c>
      <c r="N682">
        <v>10</v>
      </c>
      <c r="O682" t="s">
        <v>1049</v>
      </c>
    </row>
    <row r="683" spans="1:15" x14ac:dyDescent="0.25">
      <c r="A683">
        <v>966</v>
      </c>
      <c r="B683" s="6">
        <v>44977</v>
      </c>
      <c r="C683" s="5" t="s">
        <v>704</v>
      </c>
      <c r="D683" s="5" t="s">
        <v>2</v>
      </c>
      <c r="E683">
        <v>60</v>
      </c>
      <c r="F683" s="5" t="s">
        <v>374</v>
      </c>
      <c r="G683">
        <v>2</v>
      </c>
      <c r="H683">
        <v>500</v>
      </c>
      <c r="I683">
        <v>1000</v>
      </c>
      <c r="J683" t="s">
        <v>24</v>
      </c>
      <c r="K683" t="s">
        <v>1030</v>
      </c>
      <c r="L683" t="s">
        <v>1038</v>
      </c>
      <c r="M683" t="s">
        <v>1039</v>
      </c>
      <c r="N683">
        <v>2</v>
      </c>
      <c r="O683" t="s">
        <v>1044</v>
      </c>
    </row>
    <row r="684" spans="1:15" x14ac:dyDescent="0.25">
      <c r="A684">
        <v>970</v>
      </c>
      <c r="B684" s="6">
        <v>45062</v>
      </c>
      <c r="C684" s="5" t="s">
        <v>705</v>
      </c>
      <c r="D684" s="5" t="s">
        <v>2</v>
      </c>
      <c r="E684">
        <v>59</v>
      </c>
      <c r="F684" s="5" t="s">
        <v>374</v>
      </c>
      <c r="G684">
        <v>4</v>
      </c>
      <c r="H684">
        <v>500</v>
      </c>
      <c r="I684">
        <v>2000</v>
      </c>
      <c r="J684" t="s">
        <v>24</v>
      </c>
      <c r="K684" t="s">
        <v>1030</v>
      </c>
      <c r="L684" t="s">
        <v>1038</v>
      </c>
      <c r="M684" t="s">
        <v>1041</v>
      </c>
      <c r="N684">
        <v>5</v>
      </c>
      <c r="O684" t="s">
        <v>1032</v>
      </c>
    </row>
    <row r="685" spans="1:15" x14ac:dyDescent="0.25">
      <c r="A685">
        <v>971</v>
      </c>
      <c r="B685" s="6">
        <v>45265</v>
      </c>
      <c r="C685" s="5" t="s">
        <v>706</v>
      </c>
      <c r="D685" s="5" t="s">
        <v>1</v>
      </c>
      <c r="E685">
        <v>27</v>
      </c>
      <c r="F685" s="5" t="s">
        <v>374</v>
      </c>
      <c r="G685">
        <v>4</v>
      </c>
      <c r="H685">
        <v>50</v>
      </c>
      <c r="I685">
        <v>200</v>
      </c>
      <c r="J685" t="s">
        <v>22</v>
      </c>
      <c r="K685" t="s">
        <v>1029</v>
      </c>
      <c r="L685" t="s">
        <v>1038</v>
      </c>
      <c r="M685" t="s">
        <v>1047</v>
      </c>
      <c r="N685">
        <v>12</v>
      </c>
      <c r="O685" t="s">
        <v>1052</v>
      </c>
    </row>
    <row r="686" spans="1:15" x14ac:dyDescent="0.25">
      <c r="A686">
        <v>977</v>
      </c>
      <c r="B686" s="6">
        <v>44965</v>
      </c>
      <c r="C686" s="5" t="s">
        <v>707</v>
      </c>
      <c r="D686" s="5" t="s">
        <v>1</v>
      </c>
      <c r="E686">
        <v>35</v>
      </c>
      <c r="F686" s="5" t="s">
        <v>374</v>
      </c>
      <c r="G686">
        <v>3</v>
      </c>
      <c r="H686">
        <v>25</v>
      </c>
      <c r="I686">
        <v>75</v>
      </c>
      <c r="J686" t="s">
        <v>20</v>
      </c>
      <c r="K686" t="s">
        <v>1028</v>
      </c>
      <c r="L686" t="s">
        <v>1038</v>
      </c>
      <c r="M686" t="s">
        <v>1039</v>
      </c>
      <c r="N686">
        <v>2</v>
      </c>
      <c r="O686" t="s">
        <v>1044</v>
      </c>
    </row>
    <row r="687" spans="1:15" x14ac:dyDescent="0.25">
      <c r="A687">
        <v>980</v>
      </c>
      <c r="B687" s="6">
        <v>45136</v>
      </c>
      <c r="C687" s="5" t="s">
        <v>708</v>
      </c>
      <c r="D687" s="5" t="s">
        <v>1</v>
      </c>
      <c r="E687">
        <v>31</v>
      </c>
      <c r="F687" s="5" t="s">
        <v>374</v>
      </c>
      <c r="G687">
        <v>3</v>
      </c>
      <c r="H687">
        <v>25</v>
      </c>
      <c r="I687">
        <v>75</v>
      </c>
      <c r="J687" t="s">
        <v>20</v>
      </c>
      <c r="K687" t="s">
        <v>1028</v>
      </c>
      <c r="L687" t="s">
        <v>1038</v>
      </c>
      <c r="M687" t="s">
        <v>1033</v>
      </c>
      <c r="N687">
        <v>7</v>
      </c>
      <c r="O687" t="s">
        <v>1046</v>
      </c>
    </row>
    <row r="688" spans="1:15" x14ac:dyDescent="0.25">
      <c r="A688">
        <v>981</v>
      </c>
      <c r="B688" s="6">
        <v>45157</v>
      </c>
      <c r="C688" s="5" t="s">
        <v>709</v>
      </c>
      <c r="D688" s="5" t="s">
        <v>1</v>
      </c>
      <c r="E688">
        <v>30</v>
      </c>
      <c r="F688" s="5" t="s">
        <v>374</v>
      </c>
      <c r="G688">
        <v>2</v>
      </c>
      <c r="H688">
        <v>30</v>
      </c>
      <c r="I688">
        <v>60</v>
      </c>
      <c r="J688" t="s">
        <v>20</v>
      </c>
      <c r="K688" t="s">
        <v>1028</v>
      </c>
      <c r="L688" t="s">
        <v>1038</v>
      </c>
      <c r="M688" t="s">
        <v>1033</v>
      </c>
      <c r="N688">
        <v>8</v>
      </c>
      <c r="O688" t="s">
        <v>1051</v>
      </c>
    </row>
    <row r="689" spans="1:15" x14ac:dyDescent="0.25">
      <c r="A689">
        <v>985</v>
      </c>
      <c r="B689" s="6">
        <v>45076</v>
      </c>
      <c r="C689" s="5" t="s">
        <v>710</v>
      </c>
      <c r="D689" s="5" t="s">
        <v>1</v>
      </c>
      <c r="E689">
        <v>19</v>
      </c>
      <c r="F689" s="5" t="s">
        <v>374</v>
      </c>
      <c r="G689">
        <v>2</v>
      </c>
      <c r="H689">
        <v>25</v>
      </c>
      <c r="I689">
        <v>50</v>
      </c>
      <c r="J689" t="s">
        <v>22</v>
      </c>
      <c r="K689" t="s">
        <v>1029</v>
      </c>
      <c r="L689" t="s">
        <v>1038</v>
      </c>
      <c r="M689" t="s">
        <v>1041</v>
      </c>
      <c r="N689">
        <v>5</v>
      </c>
      <c r="O689" t="s">
        <v>1032</v>
      </c>
    </row>
    <row r="690" spans="1:15" x14ac:dyDescent="0.25">
      <c r="A690">
        <v>989</v>
      </c>
      <c r="B690" s="6">
        <v>45288</v>
      </c>
      <c r="C690" s="5" t="s">
        <v>711</v>
      </c>
      <c r="D690" s="5" t="s">
        <v>1</v>
      </c>
      <c r="E690">
        <v>44</v>
      </c>
      <c r="F690" s="5" t="s">
        <v>374</v>
      </c>
      <c r="G690">
        <v>1</v>
      </c>
      <c r="H690">
        <v>25</v>
      </c>
      <c r="I690">
        <v>25</v>
      </c>
      <c r="J690" t="s">
        <v>20</v>
      </c>
      <c r="K690" t="s">
        <v>1028</v>
      </c>
      <c r="L690" t="s">
        <v>1038</v>
      </c>
      <c r="M690" t="s">
        <v>1047</v>
      </c>
      <c r="N690">
        <v>12</v>
      </c>
      <c r="O690" t="s">
        <v>1052</v>
      </c>
    </row>
    <row r="691" spans="1:15" x14ac:dyDescent="0.25">
      <c r="A691">
        <v>992</v>
      </c>
      <c r="B691" s="6">
        <v>45159</v>
      </c>
      <c r="C691" s="5" t="s">
        <v>712</v>
      </c>
      <c r="D691" s="5" t="s">
        <v>1</v>
      </c>
      <c r="E691">
        <v>57</v>
      </c>
      <c r="F691" s="5" t="s">
        <v>374</v>
      </c>
      <c r="G691">
        <v>2</v>
      </c>
      <c r="H691">
        <v>30</v>
      </c>
      <c r="I691">
        <v>60</v>
      </c>
      <c r="J691" t="s">
        <v>24</v>
      </c>
      <c r="K691" t="s">
        <v>1030</v>
      </c>
      <c r="L691" t="s">
        <v>1038</v>
      </c>
      <c r="M691" t="s">
        <v>1033</v>
      </c>
      <c r="N691">
        <v>8</v>
      </c>
      <c r="O691" t="s">
        <v>1051</v>
      </c>
    </row>
    <row r="692" spans="1:15" x14ac:dyDescent="0.25">
      <c r="A692">
        <v>993</v>
      </c>
      <c r="B692" s="6">
        <v>44963</v>
      </c>
      <c r="C692" s="5" t="s">
        <v>713</v>
      </c>
      <c r="D692" s="5" t="s">
        <v>1</v>
      </c>
      <c r="E692">
        <v>48</v>
      </c>
      <c r="F692" s="5" t="s">
        <v>374</v>
      </c>
      <c r="G692">
        <v>3</v>
      </c>
      <c r="H692">
        <v>50</v>
      </c>
      <c r="I692">
        <v>150</v>
      </c>
      <c r="J692" t="s">
        <v>20</v>
      </c>
      <c r="K692" t="s">
        <v>1028</v>
      </c>
      <c r="L692" t="s">
        <v>1038</v>
      </c>
      <c r="M692" t="s">
        <v>1039</v>
      </c>
      <c r="N692">
        <v>2</v>
      </c>
      <c r="O692" t="s">
        <v>1044</v>
      </c>
    </row>
    <row r="693" spans="1:15" x14ac:dyDescent="0.25">
      <c r="A693">
        <v>999</v>
      </c>
      <c r="B693" s="6">
        <v>45265</v>
      </c>
      <c r="C693" s="5" t="s">
        <v>714</v>
      </c>
      <c r="D693" s="5" t="s">
        <v>1</v>
      </c>
      <c r="E693">
        <v>36</v>
      </c>
      <c r="F693" s="5" t="s">
        <v>374</v>
      </c>
      <c r="G693">
        <v>3</v>
      </c>
      <c r="H693">
        <v>50</v>
      </c>
      <c r="I693">
        <v>150</v>
      </c>
      <c r="J693" t="s">
        <v>20</v>
      </c>
      <c r="K693" t="s">
        <v>1028</v>
      </c>
      <c r="L693" t="s">
        <v>1038</v>
      </c>
      <c r="M693" t="s">
        <v>1047</v>
      </c>
      <c r="N693">
        <v>12</v>
      </c>
      <c r="O693" t="s">
        <v>1052</v>
      </c>
    </row>
    <row r="694" spans="1:15" x14ac:dyDescent="0.25">
      <c r="A694">
        <v>1000</v>
      </c>
      <c r="B694" s="6">
        <v>45028</v>
      </c>
      <c r="C694" s="5" t="s">
        <v>715</v>
      </c>
      <c r="D694" s="5" t="s">
        <v>2</v>
      </c>
      <c r="E694">
        <v>47</v>
      </c>
      <c r="F694" s="5" t="s">
        <v>374</v>
      </c>
      <c r="G694">
        <v>4</v>
      </c>
      <c r="H694">
        <v>30</v>
      </c>
      <c r="I694">
        <v>120</v>
      </c>
      <c r="J694" t="s">
        <v>20</v>
      </c>
      <c r="K694" t="s">
        <v>1028</v>
      </c>
      <c r="L694" t="s">
        <v>1038</v>
      </c>
      <c r="M694" t="s">
        <v>1041</v>
      </c>
      <c r="N694">
        <v>4</v>
      </c>
      <c r="O694" t="s">
        <v>1042</v>
      </c>
    </row>
    <row r="695" spans="1:15" x14ac:dyDescent="0.25">
      <c r="A695">
        <v>6</v>
      </c>
      <c r="B695" s="6">
        <v>45041</v>
      </c>
      <c r="C695" s="5" t="s">
        <v>716</v>
      </c>
      <c r="D695" s="5" t="s">
        <v>1</v>
      </c>
      <c r="E695">
        <v>45</v>
      </c>
      <c r="F695" s="5" t="s">
        <v>717</v>
      </c>
      <c r="G695">
        <v>1</v>
      </c>
      <c r="H695">
        <v>30</v>
      </c>
      <c r="I695">
        <v>30</v>
      </c>
      <c r="J695" t="s">
        <v>20</v>
      </c>
      <c r="K695" t="s">
        <v>1028</v>
      </c>
      <c r="L695" t="s">
        <v>1038</v>
      </c>
      <c r="M695" t="s">
        <v>1041</v>
      </c>
      <c r="N695">
        <v>4</v>
      </c>
      <c r="O695" t="s">
        <v>1042</v>
      </c>
    </row>
    <row r="696" spans="1:15" x14ac:dyDescent="0.25">
      <c r="A696">
        <v>12</v>
      </c>
      <c r="B696" s="6">
        <v>45229</v>
      </c>
      <c r="C696" s="5" t="s">
        <v>718</v>
      </c>
      <c r="D696" s="5" t="s">
        <v>2</v>
      </c>
      <c r="E696">
        <v>35</v>
      </c>
      <c r="F696" s="5" t="s">
        <v>717</v>
      </c>
      <c r="G696">
        <v>3</v>
      </c>
      <c r="H696">
        <v>25</v>
      </c>
      <c r="I696">
        <v>75</v>
      </c>
      <c r="J696" t="s">
        <v>20</v>
      </c>
      <c r="K696" t="s">
        <v>1028</v>
      </c>
      <c r="L696" t="s">
        <v>1038</v>
      </c>
      <c r="M696" t="s">
        <v>1047</v>
      </c>
      <c r="N696">
        <v>10</v>
      </c>
      <c r="O696" t="s">
        <v>1049</v>
      </c>
    </row>
    <row r="697" spans="1:15" x14ac:dyDescent="0.25">
      <c r="A697">
        <v>27</v>
      </c>
      <c r="B697" s="6">
        <v>45141</v>
      </c>
      <c r="C697" s="5" t="s">
        <v>719</v>
      </c>
      <c r="D697" s="5" t="s">
        <v>1</v>
      </c>
      <c r="E697">
        <v>38</v>
      </c>
      <c r="F697" s="5" t="s">
        <v>717</v>
      </c>
      <c r="G697">
        <v>2</v>
      </c>
      <c r="H697">
        <v>25</v>
      </c>
      <c r="I697">
        <v>50</v>
      </c>
      <c r="J697" t="s">
        <v>20</v>
      </c>
      <c r="K697" t="s">
        <v>1028</v>
      </c>
      <c r="L697" t="s">
        <v>1038</v>
      </c>
      <c r="M697" t="s">
        <v>1033</v>
      </c>
      <c r="N697">
        <v>8</v>
      </c>
      <c r="O697" t="s">
        <v>1051</v>
      </c>
    </row>
    <row r="698" spans="1:15" x14ac:dyDescent="0.25">
      <c r="A698">
        <v>30</v>
      </c>
      <c r="B698" s="6">
        <v>45228</v>
      </c>
      <c r="C698" s="5" t="s">
        <v>720</v>
      </c>
      <c r="D698" s="5" t="s">
        <v>1</v>
      </c>
      <c r="E698">
        <v>39</v>
      </c>
      <c r="F698" s="5" t="s">
        <v>717</v>
      </c>
      <c r="G698">
        <v>3</v>
      </c>
      <c r="H698">
        <v>300</v>
      </c>
      <c r="I698">
        <v>900</v>
      </c>
      <c r="J698" t="s">
        <v>20</v>
      </c>
      <c r="K698" t="s">
        <v>1028</v>
      </c>
      <c r="L698" t="s">
        <v>1038</v>
      </c>
      <c r="M698" t="s">
        <v>1047</v>
      </c>
      <c r="N698">
        <v>10</v>
      </c>
      <c r="O698" t="s">
        <v>1049</v>
      </c>
    </row>
    <row r="699" spans="1:15" x14ac:dyDescent="0.25">
      <c r="A699">
        <v>32</v>
      </c>
      <c r="B699" s="6">
        <v>44930</v>
      </c>
      <c r="C699" s="5" t="s">
        <v>721</v>
      </c>
      <c r="D699" s="5" t="s">
        <v>2</v>
      </c>
      <c r="E699">
        <v>30</v>
      </c>
      <c r="F699" s="5" t="s">
        <v>717</v>
      </c>
      <c r="G699">
        <v>3</v>
      </c>
      <c r="H699">
        <v>30</v>
      </c>
      <c r="I699">
        <v>90</v>
      </c>
      <c r="J699" t="s">
        <v>20</v>
      </c>
      <c r="K699" t="s">
        <v>1028</v>
      </c>
      <c r="L699" t="s">
        <v>1038</v>
      </c>
      <c r="M699" t="s">
        <v>1039</v>
      </c>
      <c r="N699">
        <v>1</v>
      </c>
      <c r="O699" t="s">
        <v>1045</v>
      </c>
    </row>
    <row r="700" spans="1:15" x14ac:dyDescent="0.25">
      <c r="A700">
        <v>35</v>
      </c>
      <c r="B700" s="6">
        <v>45143</v>
      </c>
      <c r="C700" s="5" t="s">
        <v>722</v>
      </c>
      <c r="D700" s="5" t="s">
        <v>1</v>
      </c>
      <c r="E700">
        <v>58</v>
      </c>
      <c r="F700" s="5" t="s">
        <v>717</v>
      </c>
      <c r="G700">
        <v>3</v>
      </c>
      <c r="H700">
        <v>300</v>
      </c>
      <c r="I700">
        <v>900</v>
      </c>
      <c r="J700" t="s">
        <v>24</v>
      </c>
      <c r="K700" t="s">
        <v>1030</v>
      </c>
      <c r="L700" t="s">
        <v>1038</v>
      </c>
      <c r="M700" t="s">
        <v>1033</v>
      </c>
      <c r="N700">
        <v>8</v>
      </c>
      <c r="O700" t="s">
        <v>1051</v>
      </c>
    </row>
    <row r="701" spans="1:15" x14ac:dyDescent="0.25">
      <c r="A701">
        <v>36</v>
      </c>
      <c r="B701" s="6">
        <v>45101</v>
      </c>
      <c r="C701" s="5" t="s">
        <v>723</v>
      </c>
      <c r="D701" s="5" t="s">
        <v>2</v>
      </c>
      <c r="E701">
        <v>52</v>
      </c>
      <c r="F701" s="5" t="s">
        <v>717</v>
      </c>
      <c r="G701">
        <v>3</v>
      </c>
      <c r="H701">
        <v>300</v>
      </c>
      <c r="I701">
        <v>900</v>
      </c>
      <c r="J701" t="s">
        <v>20</v>
      </c>
      <c r="K701" t="s">
        <v>1028</v>
      </c>
      <c r="L701" t="s">
        <v>1038</v>
      </c>
      <c r="M701" t="s">
        <v>1041</v>
      </c>
      <c r="N701">
        <v>6</v>
      </c>
      <c r="O701" t="s">
        <v>1050</v>
      </c>
    </row>
    <row r="702" spans="1:15" x14ac:dyDescent="0.25">
      <c r="A702">
        <v>37</v>
      </c>
      <c r="B702" s="6">
        <v>45069</v>
      </c>
      <c r="C702" s="5" t="s">
        <v>724</v>
      </c>
      <c r="D702" s="5" t="s">
        <v>1</v>
      </c>
      <c r="E702">
        <v>18</v>
      </c>
      <c r="F702" s="5" t="s">
        <v>717</v>
      </c>
      <c r="G702">
        <v>3</v>
      </c>
      <c r="H702">
        <v>25</v>
      </c>
      <c r="I702">
        <v>75</v>
      </c>
      <c r="J702" t="s">
        <v>22</v>
      </c>
      <c r="K702" t="s">
        <v>1029</v>
      </c>
      <c r="L702" t="s">
        <v>1038</v>
      </c>
      <c r="M702" t="s">
        <v>1041</v>
      </c>
      <c r="N702">
        <v>5</v>
      </c>
      <c r="O702" t="s">
        <v>1032</v>
      </c>
    </row>
    <row r="703" spans="1:15" x14ac:dyDescent="0.25">
      <c r="A703">
        <v>50</v>
      </c>
      <c r="B703" s="6">
        <v>45162</v>
      </c>
      <c r="C703" s="5" t="s">
        <v>725</v>
      </c>
      <c r="D703" s="5" t="s">
        <v>1</v>
      </c>
      <c r="E703">
        <v>27</v>
      </c>
      <c r="F703" s="5" t="s">
        <v>717</v>
      </c>
      <c r="G703">
        <v>3</v>
      </c>
      <c r="H703">
        <v>25</v>
      </c>
      <c r="I703">
        <v>75</v>
      </c>
      <c r="J703" t="s">
        <v>22</v>
      </c>
      <c r="K703" t="s">
        <v>1029</v>
      </c>
      <c r="L703" t="s">
        <v>1038</v>
      </c>
      <c r="M703" t="s">
        <v>1033</v>
      </c>
      <c r="N703">
        <v>8</v>
      </c>
      <c r="O703" t="s">
        <v>1051</v>
      </c>
    </row>
    <row r="704" spans="1:15" x14ac:dyDescent="0.25">
      <c r="A704">
        <v>51</v>
      </c>
      <c r="B704" s="6">
        <v>45201</v>
      </c>
      <c r="C704" s="5" t="s">
        <v>726</v>
      </c>
      <c r="D704" s="5" t="s">
        <v>2</v>
      </c>
      <c r="E704">
        <v>27</v>
      </c>
      <c r="F704" s="5" t="s">
        <v>717</v>
      </c>
      <c r="G704">
        <v>3</v>
      </c>
      <c r="H704">
        <v>25</v>
      </c>
      <c r="I704">
        <v>75</v>
      </c>
      <c r="J704" t="s">
        <v>22</v>
      </c>
      <c r="K704" t="s">
        <v>1029</v>
      </c>
      <c r="L704" t="s">
        <v>1038</v>
      </c>
      <c r="M704" t="s">
        <v>1047</v>
      </c>
      <c r="N704">
        <v>10</v>
      </c>
      <c r="O704" t="s">
        <v>1049</v>
      </c>
    </row>
    <row r="705" spans="1:15" x14ac:dyDescent="0.25">
      <c r="A705">
        <v>52</v>
      </c>
      <c r="B705" s="6">
        <v>44990</v>
      </c>
      <c r="C705" s="5" t="s">
        <v>727</v>
      </c>
      <c r="D705" s="5" t="s">
        <v>1</v>
      </c>
      <c r="E705">
        <v>36</v>
      </c>
      <c r="F705" s="5" t="s">
        <v>717</v>
      </c>
      <c r="G705">
        <v>1</v>
      </c>
      <c r="H705">
        <v>300</v>
      </c>
      <c r="I705">
        <v>300</v>
      </c>
      <c r="J705" t="s">
        <v>20</v>
      </c>
      <c r="K705" t="s">
        <v>1028</v>
      </c>
      <c r="L705" t="s">
        <v>1038</v>
      </c>
      <c r="M705" t="s">
        <v>1039</v>
      </c>
      <c r="N705">
        <v>3</v>
      </c>
      <c r="O705" t="s">
        <v>1040</v>
      </c>
    </row>
    <row r="706" spans="1:15" x14ac:dyDescent="0.25">
      <c r="A706">
        <v>55</v>
      </c>
      <c r="B706" s="6">
        <v>45209</v>
      </c>
      <c r="C706" s="5" t="s">
        <v>728</v>
      </c>
      <c r="D706" s="5" t="s">
        <v>2</v>
      </c>
      <c r="E706">
        <v>31</v>
      </c>
      <c r="F706" s="5" t="s">
        <v>717</v>
      </c>
      <c r="G706">
        <v>4</v>
      </c>
      <c r="H706">
        <v>30</v>
      </c>
      <c r="I706">
        <v>120</v>
      </c>
      <c r="J706" t="s">
        <v>20</v>
      </c>
      <c r="K706" t="s">
        <v>1028</v>
      </c>
      <c r="L706" t="s">
        <v>1038</v>
      </c>
      <c r="M706" t="s">
        <v>1047</v>
      </c>
      <c r="N706">
        <v>10</v>
      </c>
      <c r="O706" t="s">
        <v>1049</v>
      </c>
    </row>
    <row r="707" spans="1:15" x14ac:dyDescent="0.25">
      <c r="A707">
        <v>57</v>
      </c>
      <c r="B707" s="6">
        <v>45248</v>
      </c>
      <c r="C707" s="5" t="s">
        <v>729</v>
      </c>
      <c r="D707" s="5" t="s">
        <v>1</v>
      </c>
      <c r="E707">
        <v>63</v>
      </c>
      <c r="F707" s="5" t="s">
        <v>717</v>
      </c>
      <c r="G707">
        <v>1</v>
      </c>
      <c r="H707">
        <v>30</v>
      </c>
      <c r="I707">
        <v>30</v>
      </c>
      <c r="J707" t="s">
        <v>24</v>
      </c>
      <c r="K707" t="s">
        <v>1030</v>
      </c>
      <c r="L707" t="s">
        <v>1038</v>
      </c>
      <c r="M707" t="s">
        <v>1047</v>
      </c>
      <c r="N707">
        <v>11</v>
      </c>
      <c r="O707" t="s">
        <v>1048</v>
      </c>
    </row>
    <row r="708" spans="1:15" x14ac:dyDescent="0.25">
      <c r="A708">
        <v>67</v>
      </c>
      <c r="B708" s="6">
        <v>45075</v>
      </c>
      <c r="C708" s="5" t="s">
        <v>730</v>
      </c>
      <c r="D708" s="5" t="s">
        <v>1</v>
      </c>
      <c r="E708">
        <v>48</v>
      </c>
      <c r="F708" s="5" t="s">
        <v>717</v>
      </c>
      <c r="G708">
        <v>4</v>
      </c>
      <c r="H708">
        <v>300</v>
      </c>
      <c r="I708">
        <v>1200</v>
      </c>
      <c r="J708" t="s">
        <v>20</v>
      </c>
      <c r="K708" t="s">
        <v>1028</v>
      </c>
      <c r="L708" t="s">
        <v>1038</v>
      </c>
      <c r="M708" t="s">
        <v>1041</v>
      </c>
      <c r="N708">
        <v>5</v>
      </c>
      <c r="O708" t="s">
        <v>1032</v>
      </c>
    </row>
    <row r="709" spans="1:15" x14ac:dyDescent="0.25">
      <c r="A709">
        <v>69</v>
      </c>
      <c r="B709" s="6">
        <v>45046</v>
      </c>
      <c r="C709" s="5" t="s">
        <v>731</v>
      </c>
      <c r="D709" s="5" t="s">
        <v>1</v>
      </c>
      <c r="E709">
        <v>56</v>
      </c>
      <c r="F709" s="5" t="s">
        <v>717</v>
      </c>
      <c r="G709">
        <v>3</v>
      </c>
      <c r="H709">
        <v>25</v>
      </c>
      <c r="I709">
        <v>75</v>
      </c>
      <c r="J709" t="s">
        <v>24</v>
      </c>
      <c r="K709" t="s">
        <v>1030</v>
      </c>
      <c r="L709" t="s">
        <v>1038</v>
      </c>
      <c r="M709" t="s">
        <v>1041</v>
      </c>
      <c r="N709">
        <v>4</v>
      </c>
      <c r="O709" t="s">
        <v>1042</v>
      </c>
    </row>
    <row r="710" spans="1:15" x14ac:dyDescent="0.25">
      <c r="A710">
        <v>71</v>
      </c>
      <c r="B710" s="6">
        <v>45121</v>
      </c>
      <c r="C710" s="5" t="s">
        <v>732</v>
      </c>
      <c r="D710" s="5" t="s">
        <v>1</v>
      </c>
      <c r="E710">
        <v>51</v>
      </c>
      <c r="F710" s="5" t="s">
        <v>717</v>
      </c>
      <c r="G710">
        <v>4</v>
      </c>
      <c r="H710">
        <v>25</v>
      </c>
      <c r="I710">
        <v>100</v>
      </c>
      <c r="J710" t="s">
        <v>20</v>
      </c>
      <c r="K710" t="s">
        <v>1028</v>
      </c>
      <c r="L710" t="s">
        <v>1038</v>
      </c>
      <c r="M710" t="s">
        <v>1033</v>
      </c>
      <c r="N710">
        <v>7</v>
      </c>
      <c r="O710" t="s">
        <v>1046</v>
      </c>
    </row>
    <row r="711" spans="1:15" x14ac:dyDescent="0.25">
      <c r="A711">
        <v>79</v>
      </c>
      <c r="B711" s="6">
        <v>45034</v>
      </c>
      <c r="C711" s="5" t="s">
        <v>733</v>
      </c>
      <c r="D711" s="5" t="s">
        <v>2</v>
      </c>
      <c r="E711">
        <v>34</v>
      </c>
      <c r="F711" s="5" t="s">
        <v>717</v>
      </c>
      <c r="G711">
        <v>1</v>
      </c>
      <c r="H711">
        <v>300</v>
      </c>
      <c r="I711">
        <v>300</v>
      </c>
      <c r="J711" t="s">
        <v>20</v>
      </c>
      <c r="K711" t="s">
        <v>1028</v>
      </c>
      <c r="L711" t="s">
        <v>1038</v>
      </c>
      <c r="M711" t="s">
        <v>1041</v>
      </c>
      <c r="N711">
        <v>4</v>
      </c>
      <c r="O711" t="s">
        <v>1042</v>
      </c>
    </row>
    <row r="712" spans="1:15" x14ac:dyDescent="0.25">
      <c r="A712">
        <v>86</v>
      </c>
      <c r="B712" s="6">
        <v>45238</v>
      </c>
      <c r="C712" s="5" t="s">
        <v>734</v>
      </c>
      <c r="D712" s="5" t="s">
        <v>2</v>
      </c>
      <c r="E712">
        <v>19</v>
      </c>
      <c r="F712" s="5" t="s">
        <v>717</v>
      </c>
      <c r="G712">
        <v>3</v>
      </c>
      <c r="H712">
        <v>30</v>
      </c>
      <c r="I712">
        <v>90</v>
      </c>
      <c r="J712" t="s">
        <v>22</v>
      </c>
      <c r="K712" t="s">
        <v>1029</v>
      </c>
      <c r="L712" t="s">
        <v>1038</v>
      </c>
      <c r="M712" t="s">
        <v>1047</v>
      </c>
      <c r="N712">
        <v>11</v>
      </c>
      <c r="O712" t="s">
        <v>1048</v>
      </c>
    </row>
    <row r="713" spans="1:15" x14ac:dyDescent="0.25">
      <c r="A713">
        <v>102</v>
      </c>
      <c r="B713" s="6">
        <v>45044</v>
      </c>
      <c r="C713" s="5" t="s">
        <v>735</v>
      </c>
      <c r="D713" s="5" t="s">
        <v>1</v>
      </c>
      <c r="E713">
        <v>47</v>
      </c>
      <c r="F713" s="5" t="s">
        <v>717</v>
      </c>
      <c r="G713">
        <v>2</v>
      </c>
      <c r="H713">
        <v>25</v>
      </c>
      <c r="I713">
        <v>50</v>
      </c>
      <c r="J713" t="s">
        <v>20</v>
      </c>
      <c r="K713" t="s">
        <v>1028</v>
      </c>
      <c r="L713" t="s">
        <v>1038</v>
      </c>
      <c r="M713" t="s">
        <v>1041</v>
      </c>
      <c r="N713">
        <v>4</v>
      </c>
      <c r="O713" t="s">
        <v>1042</v>
      </c>
    </row>
    <row r="714" spans="1:15" x14ac:dyDescent="0.25">
      <c r="A714">
        <v>108</v>
      </c>
      <c r="B714" s="6">
        <v>45035</v>
      </c>
      <c r="C714" s="5" t="s">
        <v>736</v>
      </c>
      <c r="D714" s="5" t="s">
        <v>1</v>
      </c>
      <c r="E714">
        <v>27</v>
      </c>
      <c r="F714" s="5" t="s">
        <v>717</v>
      </c>
      <c r="G714">
        <v>3</v>
      </c>
      <c r="H714">
        <v>25</v>
      </c>
      <c r="I714">
        <v>75</v>
      </c>
      <c r="J714" t="s">
        <v>22</v>
      </c>
      <c r="K714" t="s">
        <v>1029</v>
      </c>
      <c r="L714" t="s">
        <v>1038</v>
      </c>
      <c r="M714" t="s">
        <v>1041</v>
      </c>
      <c r="N714">
        <v>4</v>
      </c>
      <c r="O714" t="s">
        <v>1042</v>
      </c>
    </row>
    <row r="715" spans="1:15" x14ac:dyDescent="0.25">
      <c r="A715">
        <v>114</v>
      </c>
      <c r="B715" s="6">
        <v>45129</v>
      </c>
      <c r="C715" s="5" t="s">
        <v>737</v>
      </c>
      <c r="D715" s="5" t="s">
        <v>1</v>
      </c>
      <c r="E715">
        <v>22</v>
      </c>
      <c r="F715" s="5" t="s">
        <v>717</v>
      </c>
      <c r="G715">
        <v>4</v>
      </c>
      <c r="H715">
        <v>25</v>
      </c>
      <c r="I715">
        <v>100</v>
      </c>
      <c r="J715" t="s">
        <v>22</v>
      </c>
      <c r="K715" t="s">
        <v>1029</v>
      </c>
      <c r="L715" t="s">
        <v>1038</v>
      </c>
      <c r="M715" t="s">
        <v>1033</v>
      </c>
      <c r="N715">
        <v>7</v>
      </c>
      <c r="O715" t="s">
        <v>1046</v>
      </c>
    </row>
    <row r="716" spans="1:15" x14ac:dyDescent="0.25">
      <c r="A716">
        <v>129</v>
      </c>
      <c r="B716" s="6">
        <v>45039</v>
      </c>
      <c r="C716" s="5" t="s">
        <v>738</v>
      </c>
      <c r="D716" s="5" t="s">
        <v>1</v>
      </c>
      <c r="E716">
        <v>21</v>
      </c>
      <c r="F716" s="5" t="s">
        <v>717</v>
      </c>
      <c r="G716">
        <v>2</v>
      </c>
      <c r="H716">
        <v>300</v>
      </c>
      <c r="I716">
        <v>600</v>
      </c>
      <c r="J716" t="s">
        <v>22</v>
      </c>
      <c r="K716" t="s">
        <v>1029</v>
      </c>
      <c r="L716" t="s">
        <v>1038</v>
      </c>
      <c r="M716" t="s">
        <v>1041</v>
      </c>
      <c r="N716">
        <v>4</v>
      </c>
      <c r="O716" t="s">
        <v>1042</v>
      </c>
    </row>
    <row r="717" spans="1:15" x14ac:dyDescent="0.25">
      <c r="A717">
        <v>131</v>
      </c>
      <c r="B717" s="6">
        <v>45187</v>
      </c>
      <c r="C717" s="5" t="s">
        <v>739</v>
      </c>
      <c r="D717" s="5" t="s">
        <v>1</v>
      </c>
      <c r="E717">
        <v>21</v>
      </c>
      <c r="F717" s="5" t="s">
        <v>717</v>
      </c>
      <c r="G717">
        <v>2</v>
      </c>
      <c r="H717">
        <v>300</v>
      </c>
      <c r="I717">
        <v>600</v>
      </c>
      <c r="J717" t="s">
        <v>22</v>
      </c>
      <c r="K717" t="s">
        <v>1029</v>
      </c>
      <c r="L717" t="s">
        <v>1038</v>
      </c>
      <c r="M717" t="s">
        <v>1033</v>
      </c>
      <c r="N717">
        <v>9</v>
      </c>
      <c r="O717" t="s">
        <v>1043</v>
      </c>
    </row>
    <row r="718" spans="1:15" x14ac:dyDescent="0.25">
      <c r="A718">
        <v>172</v>
      </c>
      <c r="B718" s="6">
        <v>45186</v>
      </c>
      <c r="C718" s="5" t="s">
        <v>740</v>
      </c>
      <c r="D718" s="5" t="s">
        <v>2</v>
      </c>
      <c r="E718">
        <v>32</v>
      </c>
      <c r="F718" s="5" t="s">
        <v>717</v>
      </c>
      <c r="G718">
        <v>2</v>
      </c>
      <c r="H718">
        <v>25</v>
      </c>
      <c r="I718">
        <v>50</v>
      </c>
      <c r="J718" t="s">
        <v>20</v>
      </c>
      <c r="K718" t="s">
        <v>1028</v>
      </c>
      <c r="L718" t="s">
        <v>1038</v>
      </c>
      <c r="M718" t="s">
        <v>1033</v>
      </c>
      <c r="N718">
        <v>9</v>
      </c>
      <c r="O718" t="s">
        <v>1043</v>
      </c>
    </row>
    <row r="719" spans="1:15" x14ac:dyDescent="0.25">
      <c r="A719">
        <v>174</v>
      </c>
      <c r="B719" s="6">
        <v>45028</v>
      </c>
      <c r="C719" s="5" t="s">
        <v>741</v>
      </c>
      <c r="D719" s="5" t="s">
        <v>1</v>
      </c>
      <c r="E719">
        <v>39</v>
      </c>
      <c r="F719" s="5" t="s">
        <v>717</v>
      </c>
      <c r="G719">
        <v>1</v>
      </c>
      <c r="H719">
        <v>300</v>
      </c>
      <c r="I719">
        <v>300</v>
      </c>
      <c r="J719" t="s">
        <v>20</v>
      </c>
      <c r="K719" t="s">
        <v>1028</v>
      </c>
      <c r="L719" t="s">
        <v>1038</v>
      </c>
      <c r="M719" t="s">
        <v>1041</v>
      </c>
      <c r="N719">
        <v>4</v>
      </c>
      <c r="O719" t="s">
        <v>1042</v>
      </c>
    </row>
    <row r="720" spans="1:15" x14ac:dyDescent="0.25">
      <c r="A720">
        <v>182</v>
      </c>
      <c r="B720" s="6">
        <v>45092</v>
      </c>
      <c r="C720" s="5" t="s">
        <v>742</v>
      </c>
      <c r="D720" s="5" t="s">
        <v>2</v>
      </c>
      <c r="E720">
        <v>62</v>
      </c>
      <c r="F720" s="5" t="s">
        <v>717</v>
      </c>
      <c r="G720">
        <v>4</v>
      </c>
      <c r="H720">
        <v>30</v>
      </c>
      <c r="I720">
        <v>120</v>
      </c>
      <c r="J720" t="s">
        <v>24</v>
      </c>
      <c r="K720" t="s">
        <v>1030</v>
      </c>
      <c r="L720" t="s">
        <v>1038</v>
      </c>
      <c r="M720" t="s">
        <v>1041</v>
      </c>
      <c r="N720">
        <v>6</v>
      </c>
      <c r="O720" t="s">
        <v>1050</v>
      </c>
    </row>
    <row r="721" spans="1:15" x14ac:dyDescent="0.25">
      <c r="A721">
        <v>183</v>
      </c>
      <c r="B721" s="6">
        <v>45177</v>
      </c>
      <c r="C721" s="5" t="s">
        <v>743</v>
      </c>
      <c r="D721" s="5" t="s">
        <v>1</v>
      </c>
      <c r="E721">
        <v>43</v>
      </c>
      <c r="F721" s="5" t="s">
        <v>717</v>
      </c>
      <c r="G721">
        <v>3</v>
      </c>
      <c r="H721">
        <v>300</v>
      </c>
      <c r="I721">
        <v>900</v>
      </c>
      <c r="J721" t="s">
        <v>20</v>
      </c>
      <c r="K721" t="s">
        <v>1028</v>
      </c>
      <c r="L721" t="s">
        <v>1038</v>
      </c>
      <c r="M721" t="s">
        <v>1033</v>
      </c>
      <c r="N721">
        <v>9</v>
      </c>
      <c r="O721" t="s">
        <v>1043</v>
      </c>
    </row>
    <row r="722" spans="1:15" x14ac:dyDescent="0.25">
      <c r="A722">
        <v>190</v>
      </c>
      <c r="B722" s="6">
        <v>45050</v>
      </c>
      <c r="C722" s="5" t="s">
        <v>744</v>
      </c>
      <c r="D722" s="5" t="s">
        <v>1</v>
      </c>
      <c r="E722">
        <v>60</v>
      </c>
      <c r="F722" s="5" t="s">
        <v>717</v>
      </c>
      <c r="G722">
        <v>3</v>
      </c>
      <c r="H722">
        <v>30</v>
      </c>
      <c r="I722">
        <v>90</v>
      </c>
      <c r="J722" t="s">
        <v>24</v>
      </c>
      <c r="K722" t="s">
        <v>1030</v>
      </c>
      <c r="L722" t="s">
        <v>1038</v>
      </c>
      <c r="M722" t="s">
        <v>1041</v>
      </c>
      <c r="N722">
        <v>5</v>
      </c>
      <c r="O722" t="s">
        <v>1032</v>
      </c>
    </row>
    <row r="723" spans="1:15" x14ac:dyDescent="0.25">
      <c r="A723">
        <v>191</v>
      </c>
      <c r="B723" s="6">
        <v>45217</v>
      </c>
      <c r="C723" s="5" t="s">
        <v>745</v>
      </c>
      <c r="D723" s="5" t="s">
        <v>2</v>
      </c>
      <c r="E723">
        <v>64</v>
      </c>
      <c r="F723" s="5" t="s">
        <v>717</v>
      </c>
      <c r="G723">
        <v>1</v>
      </c>
      <c r="H723">
        <v>25</v>
      </c>
      <c r="I723">
        <v>25</v>
      </c>
      <c r="J723" t="s">
        <v>24</v>
      </c>
      <c r="K723" t="s">
        <v>1030</v>
      </c>
      <c r="L723" t="s">
        <v>1038</v>
      </c>
      <c r="M723" t="s">
        <v>1047</v>
      </c>
      <c r="N723">
        <v>10</v>
      </c>
      <c r="O723" t="s">
        <v>1049</v>
      </c>
    </row>
    <row r="724" spans="1:15" x14ac:dyDescent="0.25">
      <c r="A724">
        <v>198</v>
      </c>
      <c r="B724" s="6">
        <v>44992</v>
      </c>
      <c r="C724" s="5" t="s">
        <v>746</v>
      </c>
      <c r="D724" s="5" t="s">
        <v>1</v>
      </c>
      <c r="E724">
        <v>54</v>
      </c>
      <c r="F724" s="5" t="s">
        <v>717</v>
      </c>
      <c r="G724">
        <v>3</v>
      </c>
      <c r="H724">
        <v>300</v>
      </c>
      <c r="I724">
        <v>900</v>
      </c>
      <c r="J724" t="s">
        <v>20</v>
      </c>
      <c r="K724" t="s">
        <v>1028</v>
      </c>
      <c r="L724" t="s">
        <v>1038</v>
      </c>
      <c r="M724" t="s">
        <v>1039</v>
      </c>
      <c r="N724">
        <v>3</v>
      </c>
      <c r="O724" t="s">
        <v>1040</v>
      </c>
    </row>
    <row r="725" spans="1:15" x14ac:dyDescent="0.25">
      <c r="A725">
        <v>204</v>
      </c>
      <c r="B725" s="6">
        <v>45197</v>
      </c>
      <c r="C725" s="5" t="s">
        <v>747</v>
      </c>
      <c r="D725" s="5" t="s">
        <v>2</v>
      </c>
      <c r="E725">
        <v>39</v>
      </c>
      <c r="F725" s="5" t="s">
        <v>717</v>
      </c>
      <c r="G725">
        <v>1</v>
      </c>
      <c r="H725">
        <v>25</v>
      </c>
      <c r="I725">
        <v>25</v>
      </c>
      <c r="J725" t="s">
        <v>20</v>
      </c>
      <c r="K725" t="s">
        <v>1028</v>
      </c>
      <c r="L725" t="s">
        <v>1038</v>
      </c>
      <c r="M725" t="s">
        <v>1033</v>
      </c>
      <c r="N725">
        <v>9</v>
      </c>
      <c r="O725" t="s">
        <v>1043</v>
      </c>
    </row>
    <row r="726" spans="1:15" x14ac:dyDescent="0.25">
      <c r="A726">
        <v>207</v>
      </c>
      <c r="B726" s="6">
        <v>45035</v>
      </c>
      <c r="C726" s="5" t="s">
        <v>748</v>
      </c>
      <c r="D726" s="5" t="s">
        <v>1</v>
      </c>
      <c r="E726">
        <v>42</v>
      </c>
      <c r="F726" s="5" t="s">
        <v>717</v>
      </c>
      <c r="G726">
        <v>2</v>
      </c>
      <c r="H726">
        <v>25</v>
      </c>
      <c r="I726">
        <v>50</v>
      </c>
      <c r="J726" t="s">
        <v>20</v>
      </c>
      <c r="K726" t="s">
        <v>1028</v>
      </c>
      <c r="L726" t="s">
        <v>1038</v>
      </c>
      <c r="M726" t="s">
        <v>1041</v>
      </c>
      <c r="N726">
        <v>4</v>
      </c>
      <c r="O726" t="s">
        <v>1042</v>
      </c>
    </row>
    <row r="727" spans="1:15" x14ac:dyDescent="0.25">
      <c r="A727">
        <v>214</v>
      </c>
      <c r="B727" s="6">
        <v>45270</v>
      </c>
      <c r="C727" s="5" t="s">
        <v>749</v>
      </c>
      <c r="D727" s="5" t="s">
        <v>2</v>
      </c>
      <c r="E727">
        <v>20</v>
      </c>
      <c r="F727" s="5" t="s">
        <v>717</v>
      </c>
      <c r="G727">
        <v>2</v>
      </c>
      <c r="H727">
        <v>30</v>
      </c>
      <c r="I727">
        <v>60</v>
      </c>
      <c r="J727" t="s">
        <v>22</v>
      </c>
      <c r="K727" t="s">
        <v>1029</v>
      </c>
      <c r="L727" t="s">
        <v>1038</v>
      </c>
      <c r="M727" t="s">
        <v>1047</v>
      </c>
      <c r="N727">
        <v>12</v>
      </c>
      <c r="O727" t="s">
        <v>1052</v>
      </c>
    </row>
    <row r="728" spans="1:15" x14ac:dyDescent="0.25">
      <c r="A728">
        <v>218</v>
      </c>
      <c r="B728" s="6">
        <v>45191</v>
      </c>
      <c r="C728" s="5" t="s">
        <v>750</v>
      </c>
      <c r="D728" s="5" t="s">
        <v>2</v>
      </c>
      <c r="E728">
        <v>64</v>
      </c>
      <c r="F728" s="5" t="s">
        <v>717</v>
      </c>
      <c r="G728">
        <v>3</v>
      </c>
      <c r="H728">
        <v>30</v>
      </c>
      <c r="I728">
        <v>90</v>
      </c>
      <c r="J728" t="s">
        <v>24</v>
      </c>
      <c r="K728" t="s">
        <v>1030</v>
      </c>
      <c r="L728" t="s">
        <v>1038</v>
      </c>
      <c r="M728" t="s">
        <v>1033</v>
      </c>
      <c r="N728">
        <v>9</v>
      </c>
      <c r="O728" t="s">
        <v>1043</v>
      </c>
    </row>
    <row r="729" spans="1:15" x14ac:dyDescent="0.25">
      <c r="A729">
        <v>221</v>
      </c>
      <c r="B729" s="6">
        <v>45053</v>
      </c>
      <c r="C729" s="5" t="s">
        <v>751</v>
      </c>
      <c r="D729" s="5" t="s">
        <v>2</v>
      </c>
      <c r="E729">
        <v>39</v>
      </c>
      <c r="F729" s="5" t="s">
        <v>717</v>
      </c>
      <c r="G729">
        <v>2</v>
      </c>
      <c r="H729">
        <v>300</v>
      </c>
      <c r="I729">
        <v>600</v>
      </c>
      <c r="J729" t="s">
        <v>20</v>
      </c>
      <c r="K729" t="s">
        <v>1028</v>
      </c>
      <c r="L729" t="s">
        <v>1038</v>
      </c>
      <c r="M729" t="s">
        <v>1041</v>
      </c>
      <c r="N729">
        <v>5</v>
      </c>
      <c r="O729" t="s">
        <v>1032</v>
      </c>
    </row>
    <row r="730" spans="1:15" x14ac:dyDescent="0.25">
      <c r="A730">
        <v>225</v>
      </c>
      <c r="B730" s="6">
        <v>44937</v>
      </c>
      <c r="C730" s="5" t="s">
        <v>752</v>
      </c>
      <c r="D730" s="5" t="s">
        <v>1</v>
      </c>
      <c r="E730">
        <v>57</v>
      </c>
      <c r="F730" s="5" t="s">
        <v>717</v>
      </c>
      <c r="G730">
        <v>4</v>
      </c>
      <c r="H730">
        <v>25</v>
      </c>
      <c r="I730">
        <v>100</v>
      </c>
      <c r="J730" t="s">
        <v>24</v>
      </c>
      <c r="K730" t="s">
        <v>1030</v>
      </c>
      <c r="L730" t="s">
        <v>1038</v>
      </c>
      <c r="M730" t="s">
        <v>1039</v>
      </c>
      <c r="N730">
        <v>1</v>
      </c>
      <c r="O730" t="s">
        <v>1045</v>
      </c>
    </row>
    <row r="731" spans="1:15" x14ac:dyDescent="0.25">
      <c r="A731">
        <v>229</v>
      </c>
      <c r="B731" s="6">
        <v>45228</v>
      </c>
      <c r="C731" s="5" t="s">
        <v>753</v>
      </c>
      <c r="D731" s="5" t="s">
        <v>2</v>
      </c>
      <c r="E731">
        <v>58</v>
      </c>
      <c r="F731" s="5" t="s">
        <v>717</v>
      </c>
      <c r="G731">
        <v>3</v>
      </c>
      <c r="H731">
        <v>30</v>
      </c>
      <c r="I731">
        <v>90</v>
      </c>
      <c r="J731" t="s">
        <v>24</v>
      </c>
      <c r="K731" t="s">
        <v>1030</v>
      </c>
      <c r="L731" t="s">
        <v>1038</v>
      </c>
      <c r="M731" t="s">
        <v>1047</v>
      </c>
      <c r="N731">
        <v>10</v>
      </c>
      <c r="O731" t="s">
        <v>1049</v>
      </c>
    </row>
    <row r="732" spans="1:15" x14ac:dyDescent="0.25">
      <c r="A732">
        <v>230</v>
      </c>
      <c r="B732" s="6">
        <v>45039</v>
      </c>
      <c r="C732" s="5" t="s">
        <v>754</v>
      </c>
      <c r="D732" s="5" t="s">
        <v>2</v>
      </c>
      <c r="E732">
        <v>54</v>
      </c>
      <c r="F732" s="5" t="s">
        <v>717</v>
      </c>
      <c r="G732">
        <v>1</v>
      </c>
      <c r="H732">
        <v>25</v>
      </c>
      <c r="I732">
        <v>25</v>
      </c>
      <c r="J732" t="s">
        <v>20</v>
      </c>
      <c r="K732" t="s">
        <v>1028</v>
      </c>
      <c r="L732" t="s">
        <v>1038</v>
      </c>
      <c r="M732" t="s">
        <v>1041</v>
      </c>
      <c r="N732">
        <v>4</v>
      </c>
      <c r="O732" t="s">
        <v>1042</v>
      </c>
    </row>
    <row r="733" spans="1:15" x14ac:dyDescent="0.25">
      <c r="A733">
        <v>232</v>
      </c>
      <c r="B733" s="6">
        <v>44963</v>
      </c>
      <c r="C733" s="5" t="s">
        <v>755</v>
      </c>
      <c r="D733" s="5" t="s">
        <v>1</v>
      </c>
      <c r="E733">
        <v>43</v>
      </c>
      <c r="F733" s="5" t="s">
        <v>717</v>
      </c>
      <c r="G733">
        <v>1</v>
      </c>
      <c r="H733">
        <v>25</v>
      </c>
      <c r="I733">
        <v>25</v>
      </c>
      <c r="J733" t="s">
        <v>20</v>
      </c>
      <c r="K733" t="s">
        <v>1028</v>
      </c>
      <c r="L733" t="s">
        <v>1038</v>
      </c>
      <c r="M733" t="s">
        <v>1039</v>
      </c>
      <c r="N733">
        <v>2</v>
      </c>
      <c r="O733" t="s">
        <v>1044</v>
      </c>
    </row>
    <row r="734" spans="1:15" x14ac:dyDescent="0.25">
      <c r="A734">
        <v>233</v>
      </c>
      <c r="B734" s="6">
        <v>45289</v>
      </c>
      <c r="C734" s="5" t="s">
        <v>756</v>
      </c>
      <c r="D734" s="5" t="s">
        <v>1</v>
      </c>
      <c r="E734">
        <v>51</v>
      </c>
      <c r="F734" s="5" t="s">
        <v>717</v>
      </c>
      <c r="G734">
        <v>2</v>
      </c>
      <c r="H734">
        <v>300</v>
      </c>
      <c r="I734">
        <v>600</v>
      </c>
      <c r="J734" t="s">
        <v>20</v>
      </c>
      <c r="K734" t="s">
        <v>1028</v>
      </c>
      <c r="L734" t="s">
        <v>1038</v>
      </c>
      <c r="M734" t="s">
        <v>1047</v>
      </c>
      <c r="N734">
        <v>12</v>
      </c>
      <c r="O734" t="s">
        <v>1052</v>
      </c>
    </row>
    <row r="735" spans="1:15" x14ac:dyDescent="0.25">
      <c r="A735">
        <v>240</v>
      </c>
      <c r="B735" s="6">
        <v>44963</v>
      </c>
      <c r="C735" s="5" t="s">
        <v>757</v>
      </c>
      <c r="D735" s="5" t="s">
        <v>1</v>
      </c>
      <c r="E735">
        <v>23</v>
      </c>
      <c r="F735" s="5" t="s">
        <v>717</v>
      </c>
      <c r="G735">
        <v>1</v>
      </c>
      <c r="H735">
        <v>300</v>
      </c>
      <c r="I735">
        <v>300</v>
      </c>
      <c r="J735" t="s">
        <v>22</v>
      </c>
      <c r="K735" t="s">
        <v>1029</v>
      </c>
      <c r="L735" t="s">
        <v>1038</v>
      </c>
      <c r="M735" t="s">
        <v>1039</v>
      </c>
      <c r="N735">
        <v>2</v>
      </c>
      <c r="O735" t="s">
        <v>1044</v>
      </c>
    </row>
    <row r="736" spans="1:15" x14ac:dyDescent="0.25">
      <c r="A736">
        <v>260</v>
      </c>
      <c r="B736" s="6">
        <v>45108</v>
      </c>
      <c r="C736" s="5" t="s">
        <v>758</v>
      </c>
      <c r="D736" s="5" t="s">
        <v>2</v>
      </c>
      <c r="E736">
        <v>28</v>
      </c>
      <c r="F736" s="5" t="s">
        <v>717</v>
      </c>
      <c r="G736">
        <v>2</v>
      </c>
      <c r="H736">
        <v>30</v>
      </c>
      <c r="I736">
        <v>60</v>
      </c>
      <c r="J736" t="s">
        <v>22</v>
      </c>
      <c r="K736" t="s">
        <v>1029</v>
      </c>
      <c r="L736" t="s">
        <v>1038</v>
      </c>
      <c r="M736" t="s">
        <v>1033</v>
      </c>
      <c r="N736">
        <v>7</v>
      </c>
      <c r="O736" t="s">
        <v>1046</v>
      </c>
    </row>
    <row r="737" spans="1:15" x14ac:dyDescent="0.25">
      <c r="A737">
        <v>262</v>
      </c>
      <c r="B737" s="6">
        <v>45137</v>
      </c>
      <c r="C737" s="5" t="s">
        <v>759</v>
      </c>
      <c r="D737" s="5" t="s">
        <v>1</v>
      </c>
      <c r="E737">
        <v>32</v>
      </c>
      <c r="F737" s="5" t="s">
        <v>717</v>
      </c>
      <c r="G737">
        <v>4</v>
      </c>
      <c r="H737">
        <v>30</v>
      </c>
      <c r="I737">
        <v>120</v>
      </c>
      <c r="J737" t="s">
        <v>20</v>
      </c>
      <c r="K737" t="s">
        <v>1028</v>
      </c>
      <c r="L737" t="s">
        <v>1038</v>
      </c>
      <c r="M737" t="s">
        <v>1033</v>
      </c>
      <c r="N737">
        <v>7</v>
      </c>
      <c r="O737" t="s">
        <v>1046</v>
      </c>
    </row>
    <row r="738" spans="1:15" x14ac:dyDescent="0.25">
      <c r="A738">
        <v>263</v>
      </c>
      <c r="B738" s="6">
        <v>45166</v>
      </c>
      <c r="C738" s="5" t="s">
        <v>760</v>
      </c>
      <c r="D738" s="5" t="s">
        <v>2</v>
      </c>
      <c r="E738">
        <v>23</v>
      </c>
      <c r="F738" s="5" t="s">
        <v>717</v>
      </c>
      <c r="G738">
        <v>2</v>
      </c>
      <c r="H738">
        <v>30</v>
      </c>
      <c r="I738">
        <v>60</v>
      </c>
      <c r="J738" t="s">
        <v>22</v>
      </c>
      <c r="K738" t="s">
        <v>1029</v>
      </c>
      <c r="L738" t="s">
        <v>1038</v>
      </c>
      <c r="M738" t="s">
        <v>1033</v>
      </c>
      <c r="N738">
        <v>8</v>
      </c>
      <c r="O738" t="s">
        <v>1051</v>
      </c>
    </row>
    <row r="739" spans="1:15" x14ac:dyDescent="0.25">
      <c r="A739">
        <v>267</v>
      </c>
      <c r="B739" s="6">
        <v>45257</v>
      </c>
      <c r="C739" s="5" t="s">
        <v>761</v>
      </c>
      <c r="D739" s="5" t="s">
        <v>1</v>
      </c>
      <c r="E739">
        <v>32</v>
      </c>
      <c r="F739" s="5" t="s">
        <v>717</v>
      </c>
      <c r="G739">
        <v>3</v>
      </c>
      <c r="H739">
        <v>30</v>
      </c>
      <c r="I739">
        <v>90</v>
      </c>
      <c r="J739" t="s">
        <v>20</v>
      </c>
      <c r="K739" t="s">
        <v>1028</v>
      </c>
      <c r="L739" t="s">
        <v>1038</v>
      </c>
      <c r="M739" t="s">
        <v>1047</v>
      </c>
      <c r="N739">
        <v>11</v>
      </c>
      <c r="O739" t="s">
        <v>1048</v>
      </c>
    </row>
    <row r="740" spans="1:15" x14ac:dyDescent="0.25">
      <c r="A740">
        <v>271</v>
      </c>
      <c r="B740" s="6">
        <v>45100</v>
      </c>
      <c r="C740" s="5" t="s">
        <v>762</v>
      </c>
      <c r="D740" s="5" t="s">
        <v>1</v>
      </c>
      <c r="E740">
        <v>62</v>
      </c>
      <c r="F740" s="5" t="s">
        <v>717</v>
      </c>
      <c r="G740">
        <v>4</v>
      </c>
      <c r="H740">
        <v>30</v>
      </c>
      <c r="I740">
        <v>120</v>
      </c>
      <c r="J740" t="s">
        <v>24</v>
      </c>
      <c r="K740" t="s">
        <v>1030</v>
      </c>
      <c r="L740" t="s">
        <v>1038</v>
      </c>
      <c r="M740" t="s">
        <v>1041</v>
      </c>
      <c r="N740">
        <v>6</v>
      </c>
      <c r="O740" t="s">
        <v>1050</v>
      </c>
    </row>
    <row r="741" spans="1:15" x14ac:dyDescent="0.25">
      <c r="A741">
        <v>276</v>
      </c>
      <c r="B741" s="6">
        <v>45201</v>
      </c>
      <c r="C741" s="5" t="s">
        <v>763</v>
      </c>
      <c r="D741" s="5" t="s">
        <v>1</v>
      </c>
      <c r="E741">
        <v>21</v>
      </c>
      <c r="F741" s="5" t="s">
        <v>717</v>
      </c>
      <c r="G741">
        <v>4</v>
      </c>
      <c r="H741">
        <v>25</v>
      </c>
      <c r="I741">
        <v>100</v>
      </c>
      <c r="J741" t="s">
        <v>22</v>
      </c>
      <c r="K741" t="s">
        <v>1029</v>
      </c>
      <c r="L741" t="s">
        <v>1038</v>
      </c>
      <c r="M741" t="s">
        <v>1047</v>
      </c>
      <c r="N741">
        <v>10</v>
      </c>
      <c r="O741" t="s">
        <v>1049</v>
      </c>
    </row>
    <row r="742" spans="1:15" x14ac:dyDescent="0.25">
      <c r="A742">
        <v>290</v>
      </c>
      <c r="B742" s="6">
        <v>45203</v>
      </c>
      <c r="C742" s="5" t="s">
        <v>764</v>
      </c>
      <c r="D742" s="5" t="s">
        <v>1</v>
      </c>
      <c r="E742">
        <v>30</v>
      </c>
      <c r="F742" s="5" t="s">
        <v>717</v>
      </c>
      <c r="G742">
        <v>2</v>
      </c>
      <c r="H742">
        <v>300</v>
      </c>
      <c r="I742">
        <v>600</v>
      </c>
      <c r="J742" t="s">
        <v>20</v>
      </c>
      <c r="K742" t="s">
        <v>1028</v>
      </c>
      <c r="L742" t="s">
        <v>1038</v>
      </c>
      <c r="M742" t="s">
        <v>1047</v>
      </c>
      <c r="N742">
        <v>10</v>
      </c>
      <c r="O742" t="s">
        <v>1049</v>
      </c>
    </row>
    <row r="743" spans="1:15" x14ac:dyDescent="0.25">
      <c r="A743">
        <v>292</v>
      </c>
      <c r="B743" s="6">
        <v>44974</v>
      </c>
      <c r="C743" s="5" t="s">
        <v>765</v>
      </c>
      <c r="D743" s="5" t="s">
        <v>2</v>
      </c>
      <c r="E743">
        <v>20</v>
      </c>
      <c r="F743" s="5" t="s">
        <v>717</v>
      </c>
      <c r="G743">
        <v>4</v>
      </c>
      <c r="H743">
        <v>300</v>
      </c>
      <c r="I743">
        <v>1200</v>
      </c>
      <c r="J743" t="s">
        <v>22</v>
      </c>
      <c r="K743" t="s">
        <v>1029</v>
      </c>
      <c r="L743" t="s">
        <v>1038</v>
      </c>
      <c r="M743" t="s">
        <v>1039</v>
      </c>
      <c r="N743">
        <v>2</v>
      </c>
      <c r="O743" t="s">
        <v>1044</v>
      </c>
    </row>
    <row r="744" spans="1:15" x14ac:dyDescent="0.25">
      <c r="A744">
        <v>295</v>
      </c>
      <c r="B744" s="6">
        <v>45135</v>
      </c>
      <c r="C744" s="5" t="s">
        <v>766</v>
      </c>
      <c r="D744" s="5" t="s">
        <v>1</v>
      </c>
      <c r="E744">
        <v>27</v>
      </c>
      <c r="F744" s="5" t="s">
        <v>717</v>
      </c>
      <c r="G744">
        <v>3</v>
      </c>
      <c r="H744">
        <v>300</v>
      </c>
      <c r="I744">
        <v>900</v>
      </c>
      <c r="J744" t="s">
        <v>22</v>
      </c>
      <c r="K744" t="s">
        <v>1029</v>
      </c>
      <c r="L744" t="s">
        <v>1038</v>
      </c>
      <c r="M744" t="s">
        <v>1033</v>
      </c>
      <c r="N744">
        <v>7</v>
      </c>
      <c r="O744" t="s">
        <v>1046</v>
      </c>
    </row>
    <row r="745" spans="1:15" x14ac:dyDescent="0.25">
      <c r="A745">
        <v>298</v>
      </c>
      <c r="B745" s="6">
        <v>45036</v>
      </c>
      <c r="C745" s="5" t="s">
        <v>767</v>
      </c>
      <c r="D745" s="5" t="s">
        <v>2</v>
      </c>
      <c r="E745">
        <v>27</v>
      </c>
      <c r="F745" s="5" t="s">
        <v>717</v>
      </c>
      <c r="G745">
        <v>4</v>
      </c>
      <c r="H745">
        <v>300</v>
      </c>
      <c r="I745">
        <v>1200</v>
      </c>
      <c r="J745" t="s">
        <v>22</v>
      </c>
      <c r="K745" t="s">
        <v>1029</v>
      </c>
      <c r="L745" t="s">
        <v>1038</v>
      </c>
      <c r="M745" t="s">
        <v>1041</v>
      </c>
      <c r="N745">
        <v>4</v>
      </c>
      <c r="O745" t="s">
        <v>1042</v>
      </c>
    </row>
    <row r="746" spans="1:15" x14ac:dyDescent="0.25">
      <c r="A746">
        <v>302</v>
      </c>
      <c r="B746" s="6">
        <v>45121</v>
      </c>
      <c r="C746" s="5" t="s">
        <v>768</v>
      </c>
      <c r="D746" s="5" t="s">
        <v>2</v>
      </c>
      <c r="E746">
        <v>57</v>
      </c>
      <c r="F746" s="5" t="s">
        <v>717</v>
      </c>
      <c r="G746">
        <v>2</v>
      </c>
      <c r="H746">
        <v>300</v>
      </c>
      <c r="I746">
        <v>600</v>
      </c>
      <c r="J746" t="s">
        <v>24</v>
      </c>
      <c r="K746" t="s">
        <v>1030</v>
      </c>
      <c r="L746" t="s">
        <v>1038</v>
      </c>
      <c r="M746" t="s">
        <v>1033</v>
      </c>
      <c r="N746">
        <v>7</v>
      </c>
      <c r="O746" t="s">
        <v>1046</v>
      </c>
    </row>
    <row r="747" spans="1:15" x14ac:dyDescent="0.25">
      <c r="A747">
        <v>305</v>
      </c>
      <c r="B747" s="6">
        <v>45062</v>
      </c>
      <c r="C747" s="5" t="s">
        <v>769</v>
      </c>
      <c r="D747" s="5" t="s">
        <v>1</v>
      </c>
      <c r="E747">
        <v>18</v>
      </c>
      <c r="F747" s="5" t="s">
        <v>717</v>
      </c>
      <c r="G747">
        <v>1</v>
      </c>
      <c r="H747">
        <v>30</v>
      </c>
      <c r="I747">
        <v>30</v>
      </c>
      <c r="J747" t="s">
        <v>22</v>
      </c>
      <c r="K747" t="s">
        <v>1029</v>
      </c>
      <c r="L747" t="s">
        <v>1038</v>
      </c>
      <c r="M747" t="s">
        <v>1041</v>
      </c>
      <c r="N747">
        <v>5</v>
      </c>
      <c r="O747" t="s">
        <v>1032</v>
      </c>
    </row>
    <row r="748" spans="1:15" x14ac:dyDescent="0.25">
      <c r="A748">
        <v>308</v>
      </c>
      <c r="B748" s="6">
        <v>45143</v>
      </c>
      <c r="C748" s="5" t="s">
        <v>770</v>
      </c>
      <c r="D748" s="5" t="s">
        <v>1</v>
      </c>
      <c r="E748">
        <v>34</v>
      </c>
      <c r="F748" s="5" t="s">
        <v>717</v>
      </c>
      <c r="G748">
        <v>4</v>
      </c>
      <c r="H748">
        <v>300</v>
      </c>
      <c r="I748">
        <v>1200</v>
      </c>
      <c r="J748" t="s">
        <v>20</v>
      </c>
      <c r="K748" t="s">
        <v>1028</v>
      </c>
      <c r="L748" t="s">
        <v>1038</v>
      </c>
      <c r="M748" t="s">
        <v>1033</v>
      </c>
      <c r="N748">
        <v>8</v>
      </c>
      <c r="O748" t="s">
        <v>1051</v>
      </c>
    </row>
    <row r="749" spans="1:15" x14ac:dyDescent="0.25">
      <c r="A749">
        <v>309</v>
      </c>
      <c r="B749" s="6">
        <v>45283</v>
      </c>
      <c r="C749" s="5" t="s">
        <v>771</v>
      </c>
      <c r="D749" s="5" t="s">
        <v>1</v>
      </c>
      <c r="E749">
        <v>26</v>
      </c>
      <c r="F749" s="5" t="s">
        <v>717</v>
      </c>
      <c r="G749">
        <v>1</v>
      </c>
      <c r="H749">
        <v>25</v>
      </c>
      <c r="I749">
        <v>25</v>
      </c>
      <c r="J749" t="s">
        <v>22</v>
      </c>
      <c r="K749" t="s">
        <v>1029</v>
      </c>
      <c r="L749" t="s">
        <v>1038</v>
      </c>
      <c r="M749" t="s">
        <v>1047</v>
      </c>
      <c r="N749">
        <v>12</v>
      </c>
      <c r="O749" t="s">
        <v>1052</v>
      </c>
    </row>
    <row r="750" spans="1:15" x14ac:dyDescent="0.25">
      <c r="A750">
        <v>310</v>
      </c>
      <c r="B750" s="6">
        <v>45211</v>
      </c>
      <c r="C750" s="5" t="s">
        <v>772</v>
      </c>
      <c r="D750" s="5" t="s">
        <v>1</v>
      </c>
      <c r="E750">
        <v>28</v>
      </c>
      <c r="F750" s="5" t="s">
        <v>717</v>
      </c>
      <c r="G750">
        <v>1</v>
      </c>
      <c r="H750">
        <v>25</v>
      </c>
      <c r="I750">
        <v>25</v>
      </c>
      <c r="J750" t="s">
        <v>22</v>
      </c>
      <c r="K750" t="s">
        <v>1029</v>
      </c>
      <c r="L750" t="s">
        <v>1038</v>
      </c>
      <c r="M750" t="s">
        <v>1047</v>
      </c>
      <c r="N750">
        <v>10</v>
      </c>
      <c r="O750" t="s">
        <v>1049</v>
      </c>
    </row>
    <row r="751" spans="1:15" x14ac:dyDescent="0.25">
      <c r="A751">
        <v>311</v>
      </c>
      <c r="B751" s="6">
        <v>45265</v>
      </c>
      <c r="C751" s="5" t="s">
        <v>773</v>
      </c>
      <c r="D751" s="5" t="s">
        <v>1</v>
      </c>
      <c r="E751">
        <v>32</v>
      </c>
      <c r="F751" s="5" t="s">
        <v>717</v>
      </c>
      <c r="G751">
        <v>4</v>
      </c>
      <c r="H751">
        <v>25</v>
      </c>
      <c r="I751">
        <v>100</v>
      </c>
      <c r="J751" t="s">
        <v>20</v>
      </c>
      <c r="K751" t="s">
        <v>1028</v>
      </c>
      <c r="L751" t="s">
        <v>1038</v>
      </c>
      <c r="M751" t="s">
        <v>1047</v>
      </c>
      <c r="N751">
        <v>12</v>
      </c>
      <c r="O751" t="s">
        <v>1052</v>
      </c>
    </row>
    <row r="752" spans="1:15" x14ac:dyDescent="0.25">
      <c r="A752">
        <v>323</v>
      </c>
      <c r="B752" s="6">
        <v>44952</v>
      </c>
      <c r="C752" s="5" t="s">
        <v>774</v>
      </c>
      <c r="D752" s="5" t="s">
        <v>1</v>
      </c>
      <c r="E752">
        <v>29</v>
      </c>
      <c r="F752" s="5" t="s">
        <v>717</v>
      </c>
      <c r="G752">
        <v>3</v>
      </c>
      <c r="H752">
        <v>300</v>
      </c>
      <c r="I752">
        <v>900</v>
      </c>
      <c r="J752" t="s">
        <v>22</v>
      </c>
      <c r="K752" t="s">
        <v>1029</v>
      </c>
      <c r="L752" t="s">
        <v>1038</v>
      </c>
      <c r="M752" t="s">
        <v>1039</v>
      </c>
      <c r="N752">
        <v>1</v>
      </c>
      <c r="O752" t="s">
        <v>1045</v>
      </c>
    </row>
    <row r="753" spans="1:15" x14ac:dyDescent="0.25">
      <c r="A753">
        <v>335</v>
      </c>
      <c r="B753" s="6">
        <v>44961</v>
      </c>
      <c r="C753" s="5" t="s">
        <v>775</v>
      </c>
      <c r="D753" s="5" t="s">
        <v>1</v>
      </c>
      <c r="E753">
        <v>47</v>
      </c>
      <c r="F753" s="5" t="s">
        <v>717</v>
      </c>
      <c r="G753">
        <v>4</v>
      </c>
      <c r="H753">
        <v>30</v>
      </c>
      <c r="I753">
        <v>120</v>
      </c>
      <c r="J753" t="s">
        <v>20</v>
      </c>
      <c r="K753" t="s">
        <v>1028</v>
      </c>
      <c r="L753" t="s">
        <v>1038</v>
      </c>
      <c r="M753" t="s">
        <v>1039</v>
      </c>
      <c r="N753">
        <v>2</v>
      </c>
      <c r="O753" t="s">
        <v>1044</v>
      </c>
    </row>
    <row r="754" spans="1:15" x14ac:dyDescent="0.25">
      <c r="A754">
        <v>344</v>
      </c>
      <c r="B754" s="6">
        <v>44947</v>
      </c>
      <c r="C754" s="5" t="s">
        <v>776</v>
      </c>
      <c r="D754" s="5" t="s">
        <v>1</v>
      </c>
      <c r="E754">
        <v>42</v>
      </c>
      <c r="F754" s="5" t="s">
        <v>717</v>
      </c>
      <c r="G754">
        <v>1</v>
      </c>
      <c r="H754">
        <v>30</v>
      </c>
      <c r="I754">
        <v>30</v>
      </c>
      <c r="J754" t="s">
        <v>20</v>
      </c>
      <c r="K754" t="s">
        <v>1028</v>
      </c>
      <c r="L754" t="s">
        <v>1038</v>
      </c>
      <c r="M754" t="s">
        <v>1039</v>
      </c>
      <c r="N754">
        <v>1</v>
      </c>
      <c r="O754" t="s">
        <v>1045</v>
      </c>
    </row>
    <row r="755" spans="1:15" x14ac:dyDescent="0.25">
      <c r="A755">
        <v>350</v>
      </c>
      <c r="B755" s="6">
        <v>45216</v>
      </c>
      <c r="C755" s="5" t="s">
        <v>777</v>
      </c>
      <c r="D755" s="5" t="s">
        <v>2</v>
      </c>
      <c r="E755">
        <v>25</v>
      </c>
      <c r="F755" s="5" t="s">
        <v>717</v>
      </c>
      <c r="G755">
        <v>3</v>
      </c>
      <c r="H755">
        <v>25</v>
      </c>
      <c r="I755">
        <v>75</v>
      </c>
      <c r="J755" t="s">
        <v>22</v>
      </c>
      <c r="K755" t="s">
        <v>1029</v>
      </c>
      <c r="L755" t="s">
        <v>1038</v>
      </c>
      <c r="M755" t="s">
        <v>1047</v>
      </c>
      <c r="N755">
        <v>10</v>
      </c>
      <c r="O755" t="s">
        <v>1049</v>
      </c>
    </row>
    <row r="756" spans="1:15" x14ac:dyDescent="0.25">
      <c r="A756">
        <v>358</v>
      </c>
      <c r="B756" s="6">
        <v>45062</v>
      </c>
      <c r="C756" s="5" t="s">
        <v>778</v>
      </c>
      <c r="D756" s="5" t="s">
        <v>1</v>
      </c>
      <c r="E756">
        <v>32</v>
      </c>
      <c r="F756" s="5" t="s">
        <v>717</v>
      </c>
      <c r="G756">
        <v>1</v>
      </c>
      <c r="H756">
        <v>300</v>
      </c>
      <c r="I756">
        <v>300</v>
      </c>
      <c r="J756" t="s">
        <v>20</v>
      </c>
      <c r="K756" t="s">
        <v>1028</v>
      </c>
      <c r="L756" t="s">
        <v>1038</v>
      </c>
      <c r="M756" t="s">
        <v>1041</v>
      </c>
      <c r="N756">
        <v>5</v>
      </c>
      <c r="O756" t="s">
        <v>1032</v>
      </c>
    </row>
    <row r="757" spans="1:15" x14ac:dyDescent="0.25">
      <c r="A757">
        <v>363</v>
      </c>
      <c r="B757" s="6">
        <v>45080</v>
      </c>
      <c r="C757" s="5" t="s">
        <v>779</v>
      </c>
      <c r="D757" s="5" t="s">
        <v>2</v>
      </c>
      <c r="E757">
        <v>64</v>
      </c>
      <c r="F757" s="5" t="s">
        <v>717</v>
      </c>
      <c r="G757">
        <v>1</v>
      </c>
      <c r="H757">
        <v>25</v>
      </c>
      <c r="I757">
        <v>25</v>
      </c>
      <c r="J757" t="s">
        <v>24</v>
      </c>
      <c r="K757" t="s">
        <v>1030</v>
      </c>
      <c r="L757" t="s">
        <v>1038</v>
      </c>
      <c r="M757" t="s">
        <v>1041</v>
      </c>
      <c r="N757">
        <v>6</v>
      </c>
      <c r="O757" t="s">
        <v>1050</v>
      </c>
    </row>
    <row r="758" spans="1:15" x14ac:dyDescent="0.25">
      <c r="A758">
        <v>371</v>
      </c>
      <c r="B758" s="6">
        <v>44978</v>
      </c>
      <c r="C758" s="5" t="s">
        <v>780</v>
      </c>
      <c r="D758" s="5" t="s">
        <v>1</v>
      </c>
      <c r="E758">
        <v>20</v>
      </c>
      <c r="F758" s="5" t="s">
        <v>717</v>
      </c>
      <c r="G758">
        <v>1</v>
      </c>
      <c r="H758">
        <v>25</v>
      </c>
      <c r="I758">
        <v>25</v>
      </c>
      <c r="J758" t="s">
        <v>22</v>
      </c>
      <c r="K758" t="s">
        <v>1029</v>
      </c>
      <c r="L758" t="s">
        <v>1038</v>
      </c>
      <c r="M758" t="s">
        <v>1039</v>
      </c>
      <c r="N758">
        <v>2</v>
      </c>
      <c r="O758" t="s">
        <v>1044</v>
      </c>
    </row>
    <row r="759" spans="1:15" x14ac:dyDescent="0.25">
      <c r="A759">
        <v>373</v>
      </c>
      <c r="B759" s="6">
        <v>45202</v>
      </c>
      <c r="C759" s="5" t="s">
        <v>781</v>
      </c>
      <c r="D759" s="5" t="s">
        <v>1</v>
      </c>
      <c r="E759">
        <v>25</v>
      </c>
      <c r="F759" s="5" t="s">
        <v>717</v>
      </c>
      <c r="G759">
        <v>2</v>
      </c>
      <c r="H759">
        <v>300</v>
      </c>
      <c r="I759">
        <v>600</v>
      </c>
      <c r="J759" t="s">
        <v>22</v>
      </c>
      <c r="K759" t="s">
        <v>1029</v>
      </c>
      <c r="L759" t="s">
        <v>1038</v>
      </c>
      <c r="M759" t="s">
        <v>1047</v>
      </c>
      <c r="N759">
        <v>10</v>
      </c>
      <c r="O759" t="s">
        <v>1049</v>
      </c>
    </row>
    <row r="760" spans="1:15" x14ac:dyDescent="0.25">
      <c r="A760">
        <v>374</v>
      </c>
      <c r="B760" s="6">
        <v>45036</v>
      </c>
      <c r="C760" s="5" t="s">
        <v>782</v>
      </c>
      <c r="D760" s="5" t="s">
        <v>1</v>
      </c>
      <c r="E760">
        <v>59</v>
      </c>
      <c r="F760" s="5" t="s">
        <v>717</v>
      </c>
      <c r="G760">
        <v>3</v>
      </c>
      <c r="H760">
        <v>25</v>
      </c>
      <c r="I760">
        <v>75</v>
      </c>
      <c r="J760" t="s">
        <v>24</v>
      </c>
      <c r="K760" t="s">
        <v>1030</v>
      </c>
      <c r="L760" t="s">
        <v>1038</v>
      </c>
      <c r="M760" t="s">
        <v>1041</v>
      </c>
      <c r="N760">
        <v>4</v>
      </c>
      <c r="O760" t="s">
        <v>1042</v>
      </c>
    </row>
    <row r="761" spans="1:15" x14ac:dyDescent="0.25">
      <c r="A761">
        <v>376</v>
      </c>
      <c r="B761" s="6">
        <v>45062</v>
      </c>
      <c r="C761" s="5" t="s">
        <v>783</v>
      </c>
      <c r="D761" s="5" t="s">
        <v>1</v>
      </c>
      <c r="E761">
        <v>64</v>
      </c>
      <c r="F761" s="5" t="s">
        <v>717</v>
      </c>
      <c r="G761">
        <v>1</v>
      </c>
      <c r="H761">
        <v>30</v>
      </c>
      <c r="I761">
        <v>30</v>
      </c>
      <c r="J761" t="s">
        <v>24</v>
      </c>
      <c r="K761" t="s">
        <v>1030</v>
      </c>
      <c r="L761" t="s">
        <v>1038</v>
      </c>
      <c r="M761" t="s">
        <v>1041</v>
      </c>
      <c r="N761">
        <v>5</v>
      </c>
      <c r="O761" t="s">
        <v>1032</v>
      </c>
    </row>
    <row r="762" spans="1:15" x14ac:dyDescent="0.25">
      <c r="A762">
        <v>378</v>
      </c>
      <c r="B762" s="6">
        <v>45105</v>
      </c>
      <c r="C762" s="5" t="s">
        <v>784</v>
      </c>
      <c r="D762" s="5" t="s">
        <v>2</v>
      </c>
      <c r="E762">
        <v>50</v>
      </c>
      <c r="F762" s="5" t="s">
        <v>717</v>
      </c>
      <c r="G762">
        <v>1</v>
      </c>
      <c r="H762">
        <v>300</v>
      </c>
      <c r="I762">
        <v>300</v>
      </c>
      <c r="J762" t="s">
        <v>20</v>
      </c>
      <c r="K762" t="s">
        <v>1028</v>
      </c>
      <c r="L762" t="s">
        <v>1038</v>
      </c>
      <c r="M762" t="s">
        <v>1041</v>
      </c>
      <c r="N762">
        <v>6</v>
      </c>
      <c r="O762" t="s">
        <v>1050</v>
      </c>
    </row>
    <row r="763" spans="1:15" x14ac:dyDescent="0.25">
      <c r="A763">
        <v>383</v>
      </c>
      <c r="B763" s="6">
        <v>45007</v>
      </c>
      <c r="C763" s="5" t="s">
        <v>785</v>
      </c>
      <c r="D763" s="5" t="s">
        <v>1</v>
      </c>
      <c r="E763">
        <v>46</v>
      </c>
      <c r="F763" s="5" t="s">
        <v>717</v>
      </c>
      <c r="G763">
        <v>3</v>
      </c>
      <c r="H763">
        <v>30</v>
      </c>
      <c r="I763">
        <v>90</v>
      </c>
      <c r="J763" t="s">
        <v>20</v>
      </c>
      <c r="K763" t="s">
        <v>1028</v>
      </c>
      <c r="L763" t="s">
        <v>1038</v>
      </c>
      <c r="M763" t="s">
        <v>1039</v>
      </c>
      <c r="N763">
        <v>3</v>
      </c>
      <c r="O763" t="s">
        <v>1040</v>
      </c>
    </row>
    <row r="764" spans="1:15" x14ac:dyDescent="0.25">
      <c r="A764">
        <v>387</v>
      </c>
      <c r="B764" s="6">
        <v>45081</v>
      </c>
      <c r="C764" s="5" t="s">
        <v>786</v>
      </c>
      <c r="D764" s="5" t="s">
        <v>2</v>
      </c>
      <c r="E764">
        <v>44</v>
      </c>
      <c r="F764" s="5" t="s">
        <v>717</v>
      </c>
      <c r="G764">
        <v>1</v>
      </c>
      <c r="H764">
        <v>30</v>
      </c>
      <c r="I764">
        <v>30</v>
      </c>
      <c r="J764" t="s">
        <v>20</v>
      </c>
      <c r="K764" t="s">
        <v>1028</v>
      </c>
      <c r="L764" t="s">
        <v>1038</v>
      </c>
      <c r="M764" t="s">
        <v>1041</v>
      </c>
      <c r="N764">
        <v>6</v>
      </c>
      <c r="O764" t="s">
        <v>1050</v>
      </c>
    </row>
    <row r="765" spans="1:15" x14ac:dyDescent="0.25">
      <c r="A765">
        <v>391</v>
      </c>
      <c r="B765" s="6">
        <v>44931</v>
      </c>
      <c r="C765" s="5" t="s">
        <v>787</v>
      </c>
      <c r="D765" s="5" t="s">
        <v>2</v>
      </c>
      <c r="E765">
        <v>19</v>
      </c>
      <c r="F765" s="5" t="s">
        <v>717</v>
      </c>
      <c r="G765">
        <v>2</v>
      </c>
      <c r="H765">
        <v>25</v>
      </c>
      <c r="I765">
        <v>50</v>
      </c>
      <c r="J765" t="s">
        <v>22</v>
      </c>
      <c r="K765" t="s">
        <v>1029</v>
      </c>
      <c r="L765" t="s">
        <v>1038</v>
      </c>
      <c r="M765" t="s">
        <v>1039</v>
      </c>
      <c r="N765">
        <v>1</v>
      </c>
      <c r="O765" t="s">
        <v>1045</v>
      </c>
    </row>
    <row r="766" spans="1:15" x14ac:dyDescent="0.25">
      <c r="A766">
        <v>396</v>
      </c>
      <c r="B766" s="6">
        <v>44980</v>
      </c>
      <c r="C766" s="5" t="s">
        <v>788</v>
      </c>
      <c r="D766" s="5" t="s">
        <v>1</v>
      </c>
      <c r="E766">
        <v>55</v>
      </c>
      <c r="F766" s="5" t="s">
        <v>717</v>
      </c>
      <c r="G766">
        <v>1</v>
      </c>
      <c r="H766">
        <v>30</v>
      </c>
      <c r="I766">
        <v>30</v>
      </c>
      <c r="J766" t="s">
        <v>20</v>
      </c>
      <c r="K766" t="s">
        <v>1028</v>
      </c>
      <c r="L766" t="s">
        <v>1038</v>
      </c>
      <c r="M766" t="s">
        <v>1039</v>
      </c>
      <c r="N766">
        <v>2</v>
      </c>
      <c r="O766" t="s">
        <v>1044</v>
      </c>
    </row>
    <row r="767" spans="1:15" x14ac:dyDescent="0.25">
      <c r="A767">
        <v>397</v>
      </c>
      <c r="B767" s="6">
        <v>44995</v>
      </c>
      <c r="C767" s="5" t="s">
        <v>789</v>
      </c>
      <c r="D767" s="5" t="s">
        <v>1</v>
      </c>
      <c r="E767">
        <v>30</v>
      </c>
      <c r="F767" s="5" t="s">
        <v>717</v>
      </c>
      <c r="G767">
        <v>1</v>
      </c>
      <c r="H767">
        <v>25</v>
      </c>
      <c r="I767">
        <v>25</v>
      </c>
      <c r="J767" t="s">
        <v>20</v>
      </c>
      <c r="K767" t="s">
        <v>1028</v>
      </c>
      <c r="L767" t="s">
        <v>1038</v>
      </c>
      <c r="M767" t="s">
        <v>1039</v>
      </c>
      <c r="N767">
        <v>3</v>
      </c>
      <c r="O767" t="s">
        <v>1040</v>
      </c>
    </row>
    <row r="768" spans="1:15" x14ac:dyDescent="0.25">
      <c r="A768">
        <v>399</v>
      </c>
      <c r="B768" s="6">
        <v>44986</v>
      </c>
      <c r="C768" s="5" t="s">
        <v>790</v>
      </c>
      <c r="D768" s="5" t="s">
        <v>1</v>
      </c>
      <c r="E768">
        <v>64</v>
      </c>
      <c r="F768" s="5" t="s">
        <v>717</v>
      </c>
      <c r="G768">
        <v>2</v>
      </c>
      <c r="H768">
        <v>30</v>
      </c>
      <c r="I768">
        <v>60</v>
      </c>
      <c r="J768" t="s">
        <v>24</v>
      </c>
      <c r="K768" t="s">
        <v>1030</v>
      </c>
      <c r="L768" t="s">
        <v>1038</v>
      </c>
      <c r="M768" t="s">
        <v>1039</v>
      </c>
      <c r="N768">
        <v>3</v>
      </c>
      <c r="O768" t="s">
        <v>1040</v>
      </c>
    </row>
    <row r="769" spans="1:15" x14ac:dyDescent="0.25">
      <c r="A769">
        <v>406</v>
      </c>
      <c r="B769" s="6">
        <v>45034</v>
      </c>
      <c r="C769" s="5" t="s">
        <v>791</v>
      </c>
      <c r="D769" s="5" t="s">
        <v>1</v>
      </c>
      <c r="E769">
        <v>22</v>
      </c>
      <c r="F769" s="5" t="s">
        <v>717</v>
      </c>
      <c r="G769">
        <v>4</v>
      </c>
      <c r="H769">
        <v>25</v>
      </c>
      <c r="I769">
        <v>100</v>
      </c>
      <c r="J769" t="s">
        <v>22</v>
      </c>
      <c r="K769" t="s">
        <v>1029</v>
      </c>
      <c r="L769" t="s">
        <v>1038</v>
      </c>
      <c r="M769" t="s">
        <v>1041</v>
      </c>
      <c r="N769">
        <v>4</v>
      </c>
      <c r="O769" t="s">
        <v>1042</v>
      </c>
    </row>
    <row r="770" spans="1:15" x14ac:dyDescent="0.25">
      <c r="A770">
        <v>413</v>
      </c>
      <c r="B770" s="6">
        <v>45177</v>
      </c>
      <c r="C770" s="5" t="s">
        <v>792</v>
      </c>
      <c r="D770" s="5" t="s">
        <v>1</v>
      </c>
      <c r="E770">
        <v>44</v>
      </c>
      <c r="F770" s="5" t="s">
        <v>717</v>
      </c>
      <c r="G770">
        <v>3</v>
      </c>
      <c r="H770">
        <v>25</v>
      </c>
      <c r="I770">
        <v>75</v>
      </c>
      <c r="J770" t="s">
        <v>20</v>
      </c>
      <c r="K770" t="s">
        <v>1028</v>
      </c>
      <c r="L770" t="s">
        <v>1038</v>
      </c>
      <c r="M770" t="s">
        <v>1033</v>
      </c>
      <c r="N770">
        <v>9</v>
      </c>
      <c r="O770" t="s">
        <v>1043</v>
      </c>
    </row>
    <row r="771" spans="1:15" x14ac:dyDescent="0.25">
      <c r="A771">
        <v>414</v>
      </c>
      <c r="B771" s="6">
        <v>45055</v>
      </c>
      <c r="C771" s="5" t="s">
        <v>793</v>
      </c>
      <c r="D771" s="5" t="s">
        <v>2</v>
      </c>
      <c r="E771">
        <v>48</v>
      </c>
      <c r="F771" s="5" t="s">
        <v>717</v>
      </c>
      <c r="G771">
        <v>4</v>
      </c>
      <c r="H771">
        <v>25</v>
      </c>
      <c r="I771">
        <v>100</v>
      </c>
      <c r="J771" t="s">
        <v>20</v>
      </c>
      <c r="K771" t="s">
        <v>1028</v>
      </c>
      <c r="L771" t="s">
        <v>1038</v>
      </c>
      <c r="M771" t="s">
        <v>1041</v>
      </c>
      <c r="N771">
        <v>5</v>
      </c>
      <c r="O771" t="s">
        <v>1032</v>
      </c>
    </row>
    <row r="772" spans="1:15" x14ac:dyDescent="0.25">
      <c r="A772">
        <v>424</v>
      </c>
      <c r="B772" s="6">
        <v>45253</v>
      </c>
      <c r="C772" s="5" t="s">
        <v>794</v>
      </c>
      <c r="D772" s="5" t="s">
        <v>2</v>
      </c>
      <c r="E772">
        <v>57</v>
      </c>
      <c r="F772" s="5" t="s">
        <v>717</v>
      </c>
      <c r="G772">
        <v>4</v>
      </c>
      <c r="H772">
        <v>300</v>
      </c>
      <c r="I772">
        <v>1200</v>
      </c>
      <c r="J772" t="s">
        <v>24</v>
      </c>
      <c r="K772" t="s">
        <v>1030</v>
      </c>
      <c r="L772" t="s">
        <v>1038</v>
      </c>
      <c r="M772" t="s">
        <v>1047</v>
      </c>
      <c r="N772">
        <v>11</v>
      </c>
      <c r="O772" t="s">
        <v>1048</v>
      </c>
    </row>
    <row r="773" spans="1:15" x14ac:dyDescent="0.25">
      <c r="A773">
        <v>435</v>
      </c>
      <c r="B773" s="6">
        <v>45280</v>
      </c>
      <c r="C773" s="5" t="s">
        <v>795</v>
      </c>
      <c r="D773" s="5" t="s">
        <v>1</v>
      </c>
      <c r="E773">
        <v>30</v>
      </c>
      <c r="F773" s="5" t="s">
        <v>717</v>
      </c>
      <c r="G773">
        <v>3</v>
      </c>
      <c r="H773">
        <v>300</v>
      </c>
      <c r="I773">
        <v>900</v>
      </c>
      <c r="J773" t="s">
        <v>20</v>
      </c>
      <c r="K773" t="s">
        <v>1028</v>
      </c>
      <c r="L773" t="s">
        <v>1038</v>
      </c>
      <c r="M773" t="s">
        <v>1047</v>
      </c>
      <c r="N773">
        <v>12</v>
      </c>
      <c r="O773" t="s">
        <v>1052</v>
      </c>
    </row>
    <row r="774" spans="1:15" x14ac:dyDescent="0.25">
      <c r="A774">
        <v>441</v>
      </c>
      <c r="B774" s="6">
        <v>45209</v>
      </c>
      <c r="C774" s="5" t="s">
        <v>796</v>
      </c>
      <c r="D774" s="5" t="s">
        <v>2</v>
      </c>
      <c r="E774">
        <v>57</v>
      </c>
      <c r="F774" s="5" t="s">
        <v>717</v>
      </c>
      <c r="G774">
        <v>4</v>
      </c>
      <c r="H774">
        <v>300</v>
      </c>
      <c r="I774">
        <v>1200</v>
      </c>
      <c r="J774" t="s">
        <v>24</v>
      </c>
      <c r="K774" t="s">
        <v>1030</v>
      </c>
      <c r="L774" t="s">
        <v>1038</v>
      </c>
      <c r="M774" t="s">
        <v>1047</v>
      </c>
      <c r="N774">
        <v>10</v>
      </c>
      <c r="O774" t="s">
        <v>1049</v>
      </c>
    </row>
    <row r="775" spans="1:15" x14ac:dyDescent="0.25">
      <c r="A775">
        <v>448</v>
      </c>
      <c r="B775" s="6">
        <v>44947</v>
      </c>
      <c r="C775" s="5" t="s">
        <v>797</v>
      </c>
      <c r="D775" s="5" t="s">
        <v>1</v>
      </c>
      <c r="E775">
        <v>54</v>
      </c>
      <c r="F775" s="5" t="s">
        <v>717</v>
      </c>
      <c r="G775">
        <v>2</v>
      </c>
      <c r="H775">
        <v>30</v>
      </c>
      <c r="I775">
        <v>60</v>
      </c>
      <c r="J775" t="s">
        <v>20</v>
      </c>
      <c r="K775" t="s">
        <v>1028</v>
      </c>
      <c r="L775" t="s">
        <v>1038</v>
      </c>
      <c r="M775" t="s">
        <v>1039</v>
      </c>
      <c r="N775">
        <v>1</v>
      </c>
      <c r="O775" t="s">
        <v>1045</v>
      </c>
    </row>
    <row r="776" spans="1:15" x14ac:dyDescent="0.25">
      <c r="A776">
        <v>450</v>
      </c>
      <c r="B776" s="6">
        <v>45034</v>
      </c>
      <c r="C776" s="5" t="s">
        <v>798</v>
      </c>
      <c r="D776" s="5" t="s">
        <v>1</v>
      </c>
      <c r="E776">
        <v>59</v>
      </c>
      <c r="F776" s="5" t="s">
        <v>717</v>
      </c>
      <c r="G776">
        <v>2</v>
      </c>
      <c r="H776">
        <v>25</v>
      </c>
      <c r="I776">
        <v>50</v>
      </c>
      <c r="J776" t="s">
        <v>24</v>
      </c>
      <c r="K776" t="s">
        <v>1030</v>
      </c>
      <c r="L776" t="s">
        <v>1038</v>
      </c>
      <c r="M776" t="s">
        <v>1041</v>
      </c>
      <c r="N776">
        <v>4</v>
      </c>
      <c r="O776" t="s">
        <v>1042</v>
      </c>
    </row>
    <row r="777" spans="1:15" x14ac:dyDescent="0.25">
      <c r="A777">
        <v>454</v>
      </c>
      <c r="B777" s="6">
        <v>44979</v>
      </c>
      <c r="C777" s="5" t="s">
        <v>799</v>
      </c>
      <c r="D777" s="5" t="s">
        <v>1</v>
      </c>
      <c r="E777">
        <v>46</v>
      </c>
      <c r="F777" s="5" t="s">
        <v>717</v>
      </c>
      <c r="G777">
        <v>1</v>
      </c>
      <c r="H777">
        <v>25</v>
      </c>
      <c r="I777">
        <v>25</v>
      </c>
      <c r="J777" t="s">
        <v>20</v>
      </c>
      <c r="K777" t="s">
        <v>1028</v>
      </c>
      <c r="L777" t="s">
        <v>1038</v>
      </c>
      <c r="M777" t="s">
        <v>1039</v>
      </c>
      <c r="N777">
        <v>2</v>
      </c>
      <c r="O777" t="s">
        <v>1044</v>
      </c>
    </row>
    <row r="778" spans="1:15" x14ac:dyDescent="0.25">
      <c r="A778">
        <v>457</v>
      </c>
      <c r="B778" s="6">
        <v>45135</v>
      </c>
      <c r="C778" s="5" t="s">
        <v>800</v>
      </c>
      <c r="D778" s="5" t="s">
        <v>1</v>
      </c>
      <c r="E778">
        <v>58</v>
      </c>
      <c r="F778" s="5" t="s">
        <v>717</v>
      </c>
      <c r="G778">
        <v>3</v>
      </c>
      <c r="H778">
        <v>300</v>
      </c>
      <c r="I778">
        <v>900</v>
      </c>
      <c r="J778" t="s">
        <v>24</v>
      </c>
      <c r="K778" t="s">
        <v>1030</v>
      </c>
      <c r="L778" t="s">
        <v>1038</v>
      </c>
      <c r="M778" t="s">
        <v>1033</v>
      </c>
      <c r="N778">
        <v>7</v>
      </c>
      <c r="O778" t="s">
        <v>1046</v>
      </c>
    </row>
    <row r="779" spans="1:15" x14ac:dyDescent="0.25">
      <c r="A779">
        <v>469</v>
      </c>
      <c r="B779" s="6">
        <v>45054</v>
      </c>
      <c r="C779" s="5" t="s">
        <v>801</v>
      </c>
      <c r="D779" s="5" t="s">
        <v>2</v>
      </c>
      <c r="E779">
        <v>18</v>
      </c>
      <c r="F779" s="5" t="s">
        <v>717</v>
      </c>
      <c r="G779">
        <v>3</v>
      </c>
      <c r="H779">
        <v>25</v>
      </c>
      <c r="I779">
        <v>75</v>
      </c>
      <c r="J779" t="s">
        <v>22</v>
      </c>
      <c r="K779" t="s">
        <v>1029</v>
      </c>
      <c r="L779" t="s">
        <v>1038</v>
      </c>
      <c r="M779" t="s">
        <v>1041</v>
      </c>
      <c r="N779">
        <v>5</v>
      </c>
      <c r="O779" t="s">
        <v>1032</v>
      </c>
    </row>
    <row r="780" spans="1:15" x14ac:dyDescent="0.25">
      <c r="A780">
        <v>472</v>
      </c>
      <c r="B780" s="6">
        <v>45286</v>
      </c>
      <c r="C780" s="5" t="s">
        <v>802</v>
      </c>
      <c r="D780" s="5" t="s">
        <v>1</v>
      </c>
      <c r="E780">
        <v>38</v>
      </c>
      <c r="F780" s="5" t="s">
        <v>717</v>
      </c>
      <c r="G780">
        <v>3</v>
      </c>
      <c r="H780">
        <v>300</v>
      </c>
      <c r="I780">
        <v>900</v>
      </c>
      <c r="J780" t="s">
        <v>20</v>
      </c>
      <c r="K780" t="s">
        <v>1028</v>
      </c>
      <c r="L780" t="s">
        <v>1038</v>
      </c>
      <c r="M780" t="s">
        <v>1047</v>
      </c>
      <c r="N780">
        <v>12</v>
      </c>
      <c r="O780" t="s">
        <v>1052</v>
      </c>
    </row>
    <row r="781" spans="1:15" x14ac:dyDescent="0.25">
      <c r="A781">
        <v>492</v>
      </c>
      <c r="B781" s="6">
        <v>45106</v>
      </c>
      <c r="C781" s="5" t="s">
        <v>803</v>
      </c>
      <c r="D781" s="5" t="s">
        <v>2</v>
      </c>
      <c r="E781">
        <v>61</v>
      </c>
      <c r="F781" s="5" t="s">
        <v>717</v>
      </c>
      <c r="G781">
        <v>4</v>
      </c>
      <c r="H781">
        <v>25</v>
      </c>
      <c r="I781">
        <v>100</v>
      </c>
      <c r="J781" t="s">
        <v>24</v>
      </c>
      <c r="K781" t="s">
        <v>1030</v>
      </c>
      <c r="L781" t="s">
        <v>1038</v>
      </c>
      <c r="M781" t="s">
        <v>1041</v>
      </c>
      <c r="N781">
        <v>6</v>
      </c>
      <c r="O781" t="s">
        <v>1050</v>
      </c>
    </row>
    <row r="782" spans="1:15" x14ac:dyDescent="0.25">
      <c r="A782">
        <v>493</v>
      </c>
      <c r="B782" s="6">
        <v>45255</v>
      </c>
      <c r="C782" s="5" t="s">
        <v>804</v>
      </c>
      <c r="D782" s="5" t="s">
        <v>2</v>
      </c>
      <c r="E782">
        <v>41</v>
      </c>
      <c r="F782" s="5" t="s">
        <v>717</v>
      </c>
      <c r="G782">
        <v>2</v>
      </c>
      <c r="H782">
        <v>25</v>
      </c>
      <c r="I782">
        <v>50</v>
      </c>
      <c r="J782" t="s">
        <v>20</v>
      </c>
      <c r="K782" t="s">
        <v>1028</v>
      </c>
      <c r="L782" t="s">
        <v>1038</v>
      </c>
      <c r="M782" t="s">
        <v>1047</v>
      </c>
      <c r="N782">
        <v>11</v>
      </c>
      <c r="O782" t="s">
        <v>1048</v>
      </c>
    </row>
    <row r="783" spans="1:15" x14ac:dyDescent="0.25">
      <c r="A783">
        <v>495</v>
      </c>
      <c r="B783" s="6">
        <v>45131</v>
      </c>
      <c r="C783" s="5" t="s">
        <v>805</v>
      </c>
      <c r="D783" s="5" t="s">
        <v>2</v>
      </c>
      <c r="E783">
        <v>24</v>
      </c>
      <c r="F783" s="5" t="s">
        <v>717</v>
      </c>
      <c r="G783">
        <v>2</v>
      </c>
      <c r="H783">
        <v>30</v>
      </c>
      <c r="I783">
        <v>60</v>
      </c>
      <c r="J783" t="s">
        <v>22</v>
      </c>
      <c r="K783" t="s">
        <v>1029</v>
      </c>
      <c r="L783" t="s">
        <v>1038</v>
      </c>
      <c r="M783" t="s">
        <v>1033</v>
      </c>
      <c r="N783">
        <v>7</v>
      </c>
      <c r="O783" t="s">
        <v>1046</v>
      </c>
    </row>
    <row r="784" spans="1:15" x14ac:dyDescent="0.25">
      <c r="A784">
        <v>499</v>
      </c>
      <c r="B784" s="6">
        <v>44941</v>
      </c>
      <c r="C784" s="5" t="s">
        <v>806</v>
      </c>
      <c r="D784" s="5" t="s">
        <v>2</v>
      </c>
      <c r="E784">
        <v>46</v>
      </c>
      <c r="F784" s="5" t="s">
        <v>717</v>
      </c>
      <c r="G784">
        <v>2</v>
      </c>
      <c r="H784">
        <v>30</v>
      </c>
      <c r="I784">
        <v>60</v>
      </c>
      <c r="J784" t="s">
        <v>20</v>
      </c>
      <c r="K784" t="s">
        <v>1028</v>
      </c>
      <c r="L784" t="s">
        <v>1038</v>
      </c>
      <c r="M784" t="s">
        <v>1039</v>
      </c>
      <c r="N784">
        <v>1</v>
      </c>
      <c r="O784" t="s">
        <v>1045</v>
      </c>
    </row>
    <row r="785" spans="1:15" x14ac:dyDescent="0.25">
      <c r="A785">
        <v>500</v>
      </c>
      <c r="B785" s="6">
        <v>44986</v>
      </c>
      <c r="C785" s="5" t="s">
        <v>807</v>
      </c>
      <c r="D785" s="5" t="s">
        <v>1</v>
      </c>
      <c r="E785">
        <v>60</v>
      </c>
      <c r="F785" s="5" t="s">
        <v>717</v>
      </c>
      <c r="G785">
        <v>4</v>
      </c>
      <c r="H785">
        <v>25</v>
      </c>
      <c r="I785">
        <v>100</v>
      </c>
      <c r="J785" t="s">
        <v>24</v>
      </c>
      <c r="K785" t="s">
        <v>1030</v>
      </c>
      <c r="L785" t="s">
        <v>1038</v>
      </c>
      <c r="M785" t="s">
        <v>1039</v>
      </c>
      <c r="N785">
        <v>3</v>
      </c>
      <c r="O785" t="s">
        <v>1040</v>
      </c>
    </row>
    <row r="786" spans="1:15" x14ac:dyDescent="0.25">
      <c r="A786">
        <v>508</v>
      </c>
      <c r="B786" s="6">
        <v>45149</v>
      </c>
      <c r="C786" s="5" t="s">
        <v>808</v>
      </c>
      <c r="D786" s="5" t="s">
        <v>2</v>
      </c>
      <c r="E786">
        <v>58</v>
      </c>
      <c r="F786" s="5" t="s">
        <v>717</v>
      </c>
      <c r="G786">
        <v>2</v>
      </c>
      <c r="H786">
        <v>300</v>
      </c>
      <c r="I786">
        <v>600</v>
      </c>
      <c r="J786" t="s">
        <v>24</v>
      </c>
      <c r="K786" t="s">
        <v>1030</v>
      </c>
      <c r="L786" t="s">
        <v>1038</v>
      </c>
      <c r="M786" t="s">
        <v>1033</v>
      </c>
      <c r="N786">
        <v>8</v>
      </c>
      <c r="O786" t="s">
        <v>1051</v>
      </c>
    </row>
    <row r="787" spans="1:15" x14ac:dyDescent="0.25">
      <c r="A787">
        <v>512</v>
      </c>
      <c r="B787" s="6">
        <v>45237</v>
      </c>
      <c r="C787" s="5" t="s">
        <v>809</v>
      </c>
      <c r="D787" s="5" t="s">
        <v>1</v>
      </c>
      <c r="E787">
        <v>57</v>
      </c>
      <c r="F787" s="5" t="s">
        <v>717</v>
      </c>
      <c r="G787">
        <v>1</v>
      </c>
      <c r="H787">
        <v>25</v>
      </c>
      <c r="I787">
        <v>25</v>
      </c>
      <c r="J787" t="s">
        <v>24</v>
      </c>
      <c r="K787" t="s">
        <v>1030</v>
      </c>
      <c r="L787" t="s">
        <v>1038</v>
      </c>
      <c r="M787" t="s">
        <v>1047</v>
      </c>
      <c r="N787">
        <v>11</v>
      </c>
      <c r="O787" t="s">
        <v>1048</v>
      </c>
    </row>
    <row r="788" spans="1:15" x14ac:dyDescent="0.25">
      <c r="A788">
        <v>516</v>
      </c>
      <c r="B788" s="6">
        <v>45222</v>
      </c>
      <c r="C788" s="5" t="s">
        <v>810</v>
      </c>
      <c r="D788" s="5" t="s">
        <v>2</v>
      </c>
      <c r="E788">
        <v>30</v>
      </c>
      <c r="F788" s="5" t="s">
        <v>717</v>
      </c>
      <c r="G788">
        <v>4</v>
      </c>
      <c r="H788">
        <v>25</v>
      </c>
      <c r="I788">
        <v>100</v>
      </c>
      <c r="J788" t="s">
        <v>20</v>
      </c>
      <c r="K788" t="s">
        <v>1028</v>
      </c>
      <c r="L788" t="s">
        <v>1038</v>
      </c>
      <c r="M788" t="s">
        <v>1047</v>
      </c>
      <c r="N788">
        <v>10</v>
      </c>
      <c r="O788" t="s">
        <v>1049</v>
      </c>
    </row>
    <row r="789" spans="1:15" x14ac:dyDescent="0.25">
      <c r="A789">
        <v>524</v>
      </c>
      <c r="B789" s="6">
        <v>45202</v>
      </c>
      <c r="C789" s="5" t="s">
        <v>811</v>
      </c>
      <c r="D789" s="5" t="s">
        <v>2</v>
      </c>
      <c r="E789">
        <v>46</v>
      </c>
      <c r="F789" s="5" t="s">
        <v>717</v>
      </c>
      <c r="G789">
        <v>4</v>
      </c>
      <c r="H789">
        <v>300</v>
      </c>
      <c r="I789">
        <v>1200</v>
      </c>
      <c r="J789" t="s">
        <v>20</v>
      </c>
      <c r="K789" t="s">
        <v>1028</v>
      </c>
      <c r="L789" t="s">
        <v>1038</v>
      </c>
      <c r="M789" t="s">
        <v>1047</v>
      </c>
      <c r="N789">
        <v>10</v>
      </c>
      <c r="O789" t="s">
        <v>1049</v>
      </c>
    </row>
    <row r="790" spans="1:15" x14ac:dyDescent="0.25">
      <c r="A790">
        <v>525</v>
      </c>
      <c r="B790" s="6">
        <v>45278</v>
      </c>
      <c r="C790" s="5" t="s">
        <v>812</v>
      </c>
      <c r="D790" s="5" t="s">
        <v>1</v>
      </c>
      <c r="E790">
        <v>47</v>
      </c>
      <c r="F790" s="5" t="s">
        <v>717</v>
      </c>
      <c r="G790">
        <v>2</v>
      </c>
      <c r="H790">
        <v>25</v>
      </c>
      <c r="I790">
        <v>50</v>
      </c>
      <c r="J790" t="s">
        <v>20</v>
      </c>
      <c r="K790" t="s">
        <v>1028</v>
      </c>
      <c r="L790" t="s">
        <v>1038</v>
      </c>
      <c r="M790" t="s">
        <v>1047</v>
      </c>
      <c r="N790">
        <v>12</v>
      </c>
      <c r="O790" t="s">
        <v>1052</v>
      </c>
    </row>
    <row r="791" spans="1:15" x14ac:dyDescent="0.25">
      <c r="A791">
        <v>535</v>
      </c>
      <c r="B791" s="6">
        <v>45266</v>
      </c>
      <c r="C791" s="5" t="s">
        <v>813</v>
      </c>
      <c r="D791" s="5" t="s">
        <v>2</v>
      </c>
      <c r="E791">
        <v>47</v>
      </c>
      <c r="F791" s="5" t="s">
        <v>717</v>
      </c>
      <c r="G791">
        <v>3</v>
      </c>
      <c r="H791">
        <v>30</v>
      </c>
      <c r="I791">
        <v>90</v>
      </c>
      <c r="J791" t="s">
        <v>20</v>
      </c>
      <c r="K791" t="s">
        <v>1028</v>
      </c>
      <c r="L791" t="s">
        <v>1038</v>
      </c>
      <c r="M791" t="s">
        <v>1047</v>
      </c>
      <c r="N791">
        <v>12</v>
      </c>
      <c r="O791" t="s">
        <v>1052</v>
      </c>
    </row>
    <row r="792" spans="1:15" x14ac:dyDescent="0.25">
      <c r="A792">
        <v>536</v>
      </c>
      <c r="B792" s="6">
        <v>44990</v>
      </c>
      <c r="C792" s="5" t="s">
        <v>814</v>
      </c>
      <c r="D792" s="5" t="s">
        <v>1</v>
      </c>
      <c r="E792">
        <v>55</v>
      </c>
      <c r="F792" s="5" t="s">
        <v>717</v>
      </c>
      <c r="G792">
        <v>4</v>
      </c>
      <c r="H792">
        <v>30</v>
      </c>
      <c r="I792">
        <v>120</v>
      </c>
      <c r="J792" t="s">
        <v>20</v>
      </c>
      <c r="K792" t="s">
        <v>1028</v>
      </c>
      <c r="L792" t="s">
        <v>1038</v>
      </c>
      <c r="M792" t="s">
        <v>1039</v>
      </c>
      <c r="N792">
        <v>3</v>
      </c>
      <c r="O792" t="s">
        <v>1040</v>
      </c>
    </row>
    <row r="793" spans="1:15" x14ac:dyDescent="0.25">
      <c r="A793">
        <v>543</v>
      </c>
      <c r="B793" s="6">
        <v>45133</v>
      </c>
      <c r="C793" s="5" t="s">
        <v>815</v>
      </c>
      <c r="D793" s="5" t="s">
        <v>2</v>
      </c>
      <c r="E793">
        <v>49</v>
      </c>
      <c r="F793" s="5" t="s">
        <v>717</v>
      </c>
      <c r="G793">
        <v>2</v>
      </c>
      <c r="H793">
        <v>300</v>
      </c>
      <c r="I793">
        <v>600</v>
      </c>
      <c r="J793" t="s">
        <v>20</v>
      </c>
      <c r="K793" t="s">
        <v>1028</v>
      </c>
      <c r="L793" t="s">
        <v>1038</v>
      </c>
      <c r="M793" t="s">
        <v>1033</v>
      </c>
      <c r="N793">
        <v>7</v>
      </c>
      <c r="O793" t="s">
        <v>1046</v>
      </c>
    </row>
    <row r="794" spans="1:15" x14ac:dyDescent="0.25">
      <c r="A794">
        <v>555</v>
      </c>
      <c r="B794" s="6">
        <v>45218</v>
      </c>
      <c r="C794" s="5" t="s">
        <v>816</v>
      </c>
      <c r="D794" s="5" t="s">
        <v>2</v>
      </c>
      <c r="E794">
        <v>25</v>
      </c>
      <c r="F794" s="5" t="s">
        <v>717</v>
      </c>
      <c r="G794">
        <v>1</v>
      </c>
      <c r="H794">
        <v>300</v>
      </c>
      <c r="I794">
        <v>300</v>
      </c>
      <c r="J794" t="s">
        <v>22</v>
      </c>
      <c r="K794" t="s">
        <v>1029</v>
      </c>
      <c r="L794" t="s">
        <v>1038</v>
      </c>
      <c r="M794" t="s">
        <v>1047</v>
      </c>
      <c r="N794">
        <v>10</v>
      </c>
      <c r="O794" t="s">
        <v>1049</v>
      </c>
    </row>
    <row r="795" spans="1:15" x14ac:dyDescent="0.25">
      <c r="A795">
        <v>557</v>
      </c>
      <c r="B795" s="6">
        <v>45134</v>
      </c>
      <c r="C795" s="5" t="s">
        <v>817</v>
      </c>
      <c r="D795" s="5" t="s">
        <v>1</v>
      </c>
      <c r="E795">
        <v>20</v>
      </c>
      <c r="F795" s="5" t="s">
        <v>717</v>
      </c>
      <c r="G795">
        <v>3</v>
      </c>
      <c r="H795">
        <v>30</v>
      </c>
      <c r="I795">
        <v>90</v>
      </c>
      <c r="J795" t="s">
        <v>22</v>
      </c>
      <c r="K795" t="s">
        <v>1029</v>
      </c>
      <c r="L795" t="s">
        <v>1038</v>
      </c>
      <c r="M795" t="s">
        <v>1033</v>
      </c>
      <c r="N795">
        <v>7</v>
      </c>
      <c r="O795" t="s">
        <v>1046</v>
      </c>
    </row>
    <row r="796" spans="1:15" x14ac:dyDescent="0.25">
      <c r="A796">
        <v>565</v>
      </c>
      <c r="B796" s="6">
        <v>45237</v>
      </c>
      <c r="C796" s="5" t="s">
        <v>818</v>
      </c>
      <c r="D796" s="5" t="s">
        <v>1</v>
      </c>
      <c r="E796">
        <v>45</v>
      </c>
      <c r="F796" s="5" t="s">
        <v>717</v>
      </c>
      <c r="G796">
        <v>2</v>
      </c>
      <c r="H796">
        <v>30</v>
      </c>
      <c r="I796">
        <v>60</v>
      </c>
      <c r="J796" t="s">
        <v>20</v>
      </c>
      <c r="K796" t="s">
        <v>1028</v>
      </c>
      <c r="L796" t="s">
        <v>1038</v>
      </c>
      <c r="M796" t="s">
        <v>1047</v>
      </c>
      <c r="N796">
        <v>11</v>
      </c>
      <c r="O796" t="s">
        <v>1048</v>
      </c>
    </row>
    <row r="797" spans="1:15" x14ac:dyDescent="0.25">
      <c r="A797">
        <v>573</v>
      </c>
      <c r="B797" s="6">
        <v>45188</v>
      </c>
      <c r="C797" s="5" t="s">
        <v>819</v>
      </c>
      <c r="D797" s="5" t="s">
        <v>2</v>
      </c>
      <c r="E797">
        <v>49</v>
      </c>
      <c r="F797" s="5" t="s">
        <v>717</v>
      </c>
      <c r="G797">
        <v>2</v>
      </c>
      <c r="H797">
        <v>30</v>
      </c>
      <c r="I797">
        <v>60</v>
      </c>
      <c r="J797" t="s">
        <v>20</v>
      </c>
      <c r="K797" t="s">
        <v>1028</v>
      </c>
      <c r="L797" t="s">
        <v>1038</v>
      </c>
      <c r="M797" t="s">
        <v>1033</v>
      </c>
      <c r="N797">
        <v>9</v>
      </c>
      <c r="O797" t="s">
        <v>1043</v>
      </c>
    </row>
    <row r="798" spans="1:15" x14ac:dyDescent="0.25">
      <c r="A798">
        <v>581</v>
      </c>
      <c r="B798" s="6">
        <v>45251</v>
      </c>
      <c r="C798" s="5" t="s">
        <v>820</v>
      </c>
      <c r="D798" s="5" t="s">
        <v>1</v>
      </c>
      <c r="E798">
        <v>48</v>
      </c>
      <c r="F798" s="5" t="s">
        <v>717</v>
      </c>
      <c r="G798">
        <v>2</v>
      </c>
      <c r="H798">
        <v>30</v>
      </c>
      <c r="I798">
        <v>60</v>
      </c>
      <c r="J798" t="s">
        <v>20</v>
      </c>
      <c r="K798" t="s">
        <v>1028</v>
      </c>
      <c r="L798" t="s">
        <v>1038</v>
      </c>
      <c r="M798" t="s">
        <v>1047</v>
      </c>
      <c r="N798">
        <v>11</v>
      </c>
      <c r="O798" t="s">
        <v>1048</v>
      </c>
    </row>
    <row r="799" spans="1:15" x14ac:dyDescent="0.25">
      <c r="A799">
        <v>587</v>
      </c>
      <c r="B799" s="6">
        <v>45085</v>
      </c>
      <c r="C799" s="5" t="s">
        <v>821</v>
      </c>
      <c r="D799" s="5" t="s">
        <v>1</v>
      </c>
      <c r="E799">
        <v>40</v>
      </c>
      <c r="F799" s="5" t="s">
        <v>717</v>
      </c>
      <c r="G799">
        <v>4</v>
      </c>
      <c r="H799">
        <v>300</v>
      </c>
      <c r="I799">
        <v>1200</v>
      </c>
      <c r="J799" t="s">
        <v>20</v>
      </c>
      <c r="K799" t="s">
        <v>1028</v>
      </c>
      <c r="L799" t="s">
        <v>1038</v>
      </c>
      <c r="M799" t="s">
        <v>1041</v>
      </c>
      <c r="N799">
        <v>6</v>
      </c>
      <c r="O799" t="s">
        <v>1050</v>
      </c>
    </row>
    <row r="800" spans="1:15" x14ac:dyDescent="0.25">
      <c r="A800">
        <v>597</v>
      </c>
      <c r="B800" s="6">
        <v>45160</v>
      </c>
      <c r="C800" s="5" t="s">
        <v>822</v>
      </c>
      <c r="D800" s="5" t="s">
        <v>2</v>
      </c>
      <c r="E800">
        <v>22</v>
      </c>
      <c r="F800" s="5" t="s">
        <v>717</v>
      </c>
      <c r="G800">
        <v>4</v>
      </c>
      <c r="H800">
        <v>300</v>
      </c>
      <c r="I800">
        <v>1200</v>
      </c>
      <c r="J800" t="s">
        <v>22</v>
      </c>
      <c r="K800" t="s">
        <v>1029</v>
      </c>
      <c r="L800" t="s">
        <v>1038</v>
      </c>
      <c r="M800" t="s">
        <v>1033</v>
      </c>
      <c r="N800">
        <v>8</v>
      </c>
      <c r="O800" t="s">
        <v>1051</v>
      </c>
    </row>
    <row r="801" spans="1:15" x14ac:dyDescent="0.25">
      <c r="A801">
        <v>598</v>
      </c>
      <c r="B801" s="6">
        <v>45139</v>
      </c>
      <c r="C801" s="5" t="s">
        <v>823</v>
      </c>
      <c r="D801" s="5" t="s">
        <v>2</v>
      </c>
      <c r="E801">
        <v>37</v>
      </c>
      <c r="F801" s="5" t="s">
        <v>717</v>
      </c>
      <c r="G801">
        <v>4</v>
      </c>
      <c r="H801">
        <v>30</v>
      </c>
      <c r="I801">
        <v>120</v>
      </c>
      <c r="J801" t="s">
        <v>20</v>
      </c>
      <c r="K801" t="s">
        <v>1028</v>
      </c>
      <c r="L801" t="s">
        <v>1038</v>
      </c>
      <c r="M801" t="s">
        <v>1033</v>
      </c>
      <c r="N801">
        <v>8</v>
      </c>
      <c r="O801" t="s">
        <v>1051</v>
      </c>
    </row>
    <row r="802" spans="1:15" x14ac:dyDescent="0.25">
      <c r="A802">
        <v>610</v>
      </c>
      <c r="B802" s="6">
        <v>44929</v>
      </c>
      <c r="C802" s="5" t="s">
        <v>824</v>
      </c>
      <c r="D802" s="5" t="s">
        <v>1</v>
      </c>
      <c r="E802">
        <v>26</v>
      </c>
      <c r="F802" s="5" t="s">
        <v>717</v>
      </c>
      <c r="G802">
        <v>2</v>
      </c>
      <c r="H802">
        <v>300</v>
      </c>
      <c r="I802">
        <v>600</v>
      </c>
      <c r="J802" t="s">
        <v>22</v>
      </c>
      <c r="K802" t="s">
        <v>1029</v>
      </c>
      <c r="L802" t="s">
        <v>1038</v>
      </c>
      <c r="M802" t="s">
        <v>1039</v>
      </c>
      <c r="N802">
        <v>1</v>
      </c>
      <c r="O802" t="s">
        <v>1045</v>
      </c>
    </row>
    <row r="803" spans="1:15" x14ac:dyDescent="0.25">
      <c r="A803">
        <v>614</v>
      </c>
      <c r="B803" s="6">
        <v>45017</v>
      </c>
      <c r="C803" s="5" t="s">
        <v>825</v>
      </c>
      <c r="D803" s="5" t="s">
        <v>1</v>
      </c>
      <c r="E803">
        <v>39</v>
      </c>
      <c r="F803" s="5" t="s">
        <v>717</v>
      </c>
      <c r="G803">
        <v>4</v>
      </c>
      <c r="H803">
        <v>300</v>
      </c>
      <c r="I803">
        <v>1200</v>
      </c>
      <c r="J803" t="s">
        <v>20</v>
      </c>
      <c r="K803" t="s">
        <v>1028</v>
      </c>
      <c r="L803" t="s">
        <v>1038</v>
      </c>
      <c r="M803" t="s">
        <v>1041</v>
      </c>
      <c r="N803">
        <v>4</v>
      </c>
      <c r="O803" t="s">
        <v>1042</v>
      </c>
    </row>
    <row r="804" spans="1:15" x14ac:dyDescent="0.25">
      <c r="A804">
        <v>622</v>
      </c>
      <c r="B804" s="6">
        <v>45160</v>
      </c>
      <c r="C804" s="5" t="s">
        <v>826</v>
      </c>
      <c r="D804" s="5" t="s">
        <v>1</v>
      </c>
      <c r="E804">
        <v>49</v>
      </c>
      <c r="F804" s="5" t="s">
        <v>717</v>
      </c>
      <c r="G804">
        <v>3</v>
      </c>
      <c r="H804">
        <v>25</v>
      </c>
      <c r="I804">
        <v>75</v>
      </c>
      <c r="J804" t="s">
        <v>20</v>
      </c>
      <c r="K804" t="s">
        <v>1028</v>
      </c>
      <c r="L804" t="s">
        <v>1038</v>
      </c>
      <c r="M804" t="s">
        <v>1033</v>
      </c>
      <c r="N804">
        <v>8</v>
      </c>
      <c r="O804" t="s">
        <v>1051</v>
      </c>
    </row>
    <row r="805" spans="1:15" x14ac:dyDescent="0.25">
      <c r="A805">
        <v>624</v>
      </c>
      <c r="B805" s="6">
        <v>45164</v>
      </c>
      <c r="C805" s="5" t="s">
        <v>827</v>
      </c>
      <c r="D805" s="5" t="s">
        <v>1</v>
      </c>
      <c r="E805">
        <v>34</v>
      </c>
      <c r="F805" s="5" t="s">
        <v>717</v>
      </c>
      <c r="G805">
        <v>3</v>
      </c>
      <c r="H805">
        <v>300</v>
      </c>
      <c r="I805">
        <v>900</v>
      </c>
      <c r="J805" t="s">
        <v>20</v>
      </c>
      <c r="K805" t="s">
        <v>1028</v>
      </c>
      <c r="L805" t="s">
        <v>1038</v>
      </c>
      <c r="M805" t="s">
        <v>1033</v>
      </c>
      <c r="N805">
        <v>8</v>
      </c>
      <c r="O805" t="s">
        <v>1051</v>
      </c>
    </row>
    <row r="806" spans="1:15" x14ac:dyDescent="0.25">
      <c r="A806">
        <v>633</v>
      </c>
      <c r="B806" s="6">
        <v>45145</v>
      </c>
      <c r="C806" s="5" t="s">
        <v>828</v>
      </c>
      <c r="D806" s="5" t="s">
        <v>2</v>
      </c>
      <c r="E806">
        <v>39</v>
      </c>
      <c r="F806" s="5" t="s">
        <v>717</v>
      </c>
      <c r="G806">
        <v>4</v>
      </c>
      <c r="H806">
        <v>30</v>
      </c>
      <c r="I806">
        <v>120</v>
      </c>
      <c r="J806" t="s">
        <v>20</v>
      </c>
      <c r="K806" t="s">
        <v>1028</v>
      </c>
      <c r="L806" t="s">
        <v>1038</v>
      </c>
      <c r="M806" t="s">
        <v>1033</v>
      </c>
      <c r="N806">
        <v>8</v>
      </c>
      <c r="O806" t="s">
        <v>1051</v>
      </c>
    </row>
    <row r="807" spans="1:15" x14ac:dyDescent="0.25">
      <c r="A807">
        <v>644</v>
      </c>
      <c r="B807" s="6">
        <v>45175</v>
      </c>
      <c r="C807" s="5" t="s">
        <v>829</v>
      </c>
      <c r="D807" s="5" t="s">
        <v>2</v>
      </c>
      <c r="E807">
        <v>23</v>
      </c>
      <c r="F807" s="5" t="s">
        <v>717</v>
      </c>
      <c r="G807">
        <v>3</v>
      </c>
      <c r="H807">
        <v>25</v>
      </c>
      <c r="I807">
        <v>75</v>
      </c>
      <c r="J807" t="s">
        <v>22</v>
      </c>
      <c r="K807" t="s">
        <v>1029</v>
      </c>
      <c r="L807" t="s">
        <v>1038</v>
      </c>
      <c r="M807" t="s">
        <v>1033</v>
      </c>
      <c r="N807">
        <v>9</v>
      </c>
      <c r="O807" t="s">
        <v>1043</v>
      </c>
    </row>
    <row r="808" spans="1:15" x14ac:dyDescent="0.25">
      <c r="A808">
        <v>648</v>
      </c>
      <c r="B808" s="6">
        <v>45152</v>
      </c>
      <c r="C808" s="5" t="s">
        <v>830</v>
      </c>
      <c r="D808" s="5" t="s">
        <v>2</v>
      </c>
      <c r="E808">
        <v>53</v>
      </c>
      <c r="F808" s="5" t="s">
        <v>717</v>
      </c>
      <c r="G808">
        <v>4</v>
      </c>
      <c r="H808">
        <v>300</v>
      </c>
      <c r="I808">
        <v>1200</v>
      </c>
      <c r="J808" t="s">
        <v>20</v>
      </c>
      <c r="K808" t="s">
        <v>1028</v>
      </c>
      <c r="L808" t="s">
        <v>1038</v>
      </c>
      <c r="M808" t="s">
        <v>1033</v>
      </c>
      <c r="N808">
        <v>8</v>
      </c>
      <c r="O808" t="s">
        <v>1051</v>
      </c>
    </row>
    <row r="809" spans="1:15" x14ac:dyDescent="0.25">
      <c r="A809">
        <v>656</v>
      </c>
      <c r="B809" s="6">
        <v>45203</v>
      </c>
      <c r="C809" s="5" t="s">
        <v>831</v>
      </c>
      <c r="D809" s="5" t="s">
        <v>2</v>
      </c>
      <c r="E809">
        <v>29</v>
      </c>
      <c r="F809" s="5" t="s">
        <v>717</v>
      </c>
      <c r="G809">
        <v>3</v>
      </c>
      <c r="H809">
        <v>30</v>
      </c>
      <c r="I809">
        <v>90</v>
      </c>
      <c r="J809" t="s">
        <v>22</v>
      </c>
      <c r="K809" t="s">
        <v>1029</v>
      </c>
      <c r="L809" t="s">
        <v>1038</v>
      </c>
      <c r="M809" t="s">
        <v>1047</v>
      </c>
      <c r="N809">
        <v>10</v>
      </c>
      <c r="O809" t="s">
        <v>1049</v>
      </c>
    </row>
    <row r="810" spans="1:15" x14ac:dyDescent="0.25">
      <c r="A810">
        <v>669</v>
      </c>
      <c r="B810" s="6">
        <v>45096</v>
      </c>
      <c r="C810" s="5" t="s">
        <v>832</v>
      </c>
      <c r="D810" s="5" t="s">
        <v>2</v>
      </c>
      <c r="E810">
        <v>24</v>
      </c>
      <c r="F810" s="5" t="s">
        <v>717</v>
      </c>
      <c r="G810">
        <v>4</v>
      </c>
      <c r="H810">
        <v>300</v>
      </c>
      <c r="I810">
        <v>1200</v>
      </c>
      <c r="J810" t="s">
        <v>22</v>
      </c>
      <c r="K810" t="s">
        <v>1029</v>
      </c>
      <c r="L810" t="s">
        <v>1038</v>
      </c>
      <c r="M810" t="s">
        <v>1041</v>
      </c>
      <c r="N810">
        <v>6</v>
      </c>
      <c r="O810" t="s">
        <v>1050</v>
      </c>
    </row>
    <row r="811" spans="1:15" x14ac:dyDescent="0.25">
      <c r="A811">
        <v>670</v>
      </c>
      <c r="B811" s="6">
        <v>45204</v>
      </c>
      <c r="C811" s="5" t="s">
        <v>833</v>
      </c>
      <c r="D811" s="5" t="s">
        <v>2</v>
      </c>
      <c r="E811">
        <v>27</v>
      </c>
      <c r="F811" s="5" t="s">
        <v>717</v>
      </c>
      <c r="G811">
        <v>1</v>
      </c>
      <c r="H811">
        <v>30</v>
      </c>
      <c r="I811">
        <v>30</v>
      </c>
      <c r="J811" t="s">
        <v>22</v>
      </c>
      <c r="K811" t="s">
        <v>1029</v>
      </c>
      <c r="L811" t="s">
        <v>1038</v>
      </c>
      <c r="M811" t="s">
        <v>1047</v>
      </c>
      <c r="N811">
        <v>10</v>
      </c>
      <c r="O811" t="s">
        <v>1049</v>
      </c>
    </row>
    <row r="812" spans="1:15" x14ac:dyDescent="0.25">
      <c r="A812">
        <v>679</v>
      </c>
      <c r="B812" s="6">
        <v>44937</v>
      </c>
      <c r="C812" s="5" t="s">
        <v>834</v>
      </c>
      <c r="D812" s="5" t="s">
        <v>1</v>
      </c>
      <c r="E812">
        <v>18</v>
      </c>
      <c r="F812" s="5" t="s">
        <v>717</v>
      </c>
      <c r="G812">
        <v>3</v>
      </c>
      <c r="H812">
        <v>30</v>
      </c>
      <c r="I812">
        <v>90</v>
      </c>
      <c r="J812" t="s">
        <v>22</v>
      </c>
      <c r="K812" t="s">
        <v>1029</v>
      </c>
      <c r="L812" t="s">
        <v>1038</v>
      </c>
      <c r="M812" t="s">
        <v>1039</v>
      </c>
      <c r="N812">
        <v>1</v>
      </c>
      <c r="O812" t="s">
        <v>1045</v>
      </c>
    </row>
    <row r="813" spans="1:15" x14ac:dyDescent="0.25">
      <c r="A813">
        <v>682</v>
      </c>
      <c r="B813" s="6">
        <v>45171</v>
      </c>
      <c r="C813" s="5" t="s">
        <v>835</v>
      </c>
      <c r="D813" s="5" t="s">
        <v>2</v>
      </c>
      <c r="E813">
        <v>46</v>
      </c>
      <c r="F813" s="5" t="s">
        <v>717</v>
      </c>
      <c r="G813">
        <v>4</v>
      </c>
      <c r="H813">
        <v>300</v>
      </c>
      <c r="I813">
        <v>1200</v>
      </c>
      <c r="J813" t="s">
        <v>20</v>
      </c>
      <c r="K813" t="s">
        <v>1028</v>
      </c>
      <c r="L813" t="s">
        <v>1038</v>
      </c>
      <c r="M813" t="s">
        <v>1033</v>
      </c>
      <c r="N813">
        <v>9</v>
      </c>
      <c r="O813" t="s">
        <v>1043</v>
      </c>
    </row>
    <row r="814" spans="1:15" x14ac:dyDescent="0.25">
      <c r="A814">
        <v>701</v>
      </c>
      <c r="B814" s="6">
        <v>45274</v>
      </c>
      <c r="C814" s="5" t="s">
        <v>836</v>
      </c>
      <c r="D814" s="5" t="s">
        <v>1</v>
      </c>
      <c r="E814">
        <v>52</v>
      </c>
      <c r="F814" s="5" t="s">
        <v>717</v>
      </c>
      <c r="G814">
        <v>2</v>
      </c>
      <c r="H814">
        <v>30</v>
      </c>
      <c r="I814">
        <v>60</v>
      </c>
      <c r="J814" t="s">
        <v>20</v>
      </c>
      <c r="K814" t="s">
        <v>1028</v>
      </c>
      <c r="L814" t="s">
        <v>1038</v>
      </c>
      <c r="M814" t="s">
        <v>1047</v>
      </c>
      <c r="N814">
        <v>12</v>
      </c>
      <c r="O814" t="s">
        <v>1052</v>
      </c>
    </row>
    <row r="815" spans="1:15" x14ac:dyDescent="0.25">
      <c r="A815">
        <v>708</v>
      </c>
      <c r="B815" s="6">
        <v>44940</v>
      </c>
      <c r="C815" s="5" t="s">
        <v>837</v>
      </c>
      <c r="D815" s="5" t="s">
        <v>1</v>
      </c>
      <c r="E815">
        <v>43</v>
      </c>
      <c r="F815" s="5" t="s">
        <v>717</v>
      </c>
      <c r="G815">
        <v>3</v>
      </c>
      <c r="H815">
        <v>300</v>
      </c>
      <c r="I815">
        <v>900</v>
      </c>
      <c r="J815" t="s">
        <v>20</v>
      </c>
      <c r="K815" t="s">
        <v>1028</v>
      </c>
      <c r="L815" t="s">
        <v>1038</v>
      </c>
      <c r="M815" t="s">
        <v>1039</v>
      </c>
      <c r="N815">
        <v>1</v>
      </c>
      <c r="O815" t="s">
        <v>1045</v>
      </c>
    </row>
    <row r="816" spans="1:15" x14ac:dyDescent="0.25">
      <c r="A816">
        <v>712</v>
      </c>
      <c r="B816" s="6">
        <v>45266</v>
      </c>
      <c r="C816" s="5" t="s">
        <v>838</v>
      </c>
      <c r="D816" s="5" t="s">
        <v>1</v>
      </c>
      <c r="E816">
        <v>57</v>
      </c>
      <c r="F816" s="5" t="s">
        <v>717</v>
      </c>
      <c r="G816">
        <v>2</v>
      </c>
      <c r="H816">
        <v>25</v>
      </c>
      <c r="I816">
        <v>50</v>
      </c>
      <c r="J816" t="s">
        <v>24</v>
      </c>
      <c r="K816" t="s">
        <v>1030</v>
      </c>
      <c r="L816" t="s">
        <v>1038</v>
      </c>
      <c r="M816" t="s">
        <v>1047</v>
      </c>
      <c r="N816">
        <v>12</v>
      </c>
      <c r="O816" t="s">
        <v>1052</v>
      </c>
    </row>
    <row r="817" spans="1:15" x14ac:dyDescent="0.25">
      <c r="A817">
        <v>713</v>
      </c>
      <c r="B817" s="6">
        <v>44940</v>
      </c>
      <c r="C817" s="5" t="s">
        <v>839</v>
      </c>
      <c r="D817" s="5" t="s">
        <v>2</v>
      </c>
      <c r="E817">
        <v>34</v>
      </c>
      <c r="F817" s="5" t="s">
        <v>717</v>
      </c>
      <c r="G817">
        <v>3</v>
      </c>
      <c r="H817">
        <v>25</v>
      </c>
      <c r="I817">
        <v>75</v>
      </c>
      <c r="J817" t="s">
        <v>20</v>
      </c>
      <c r="K817" t="s">
        <v>1028</v>
      </c>
      <c r="L817" t="s">
        <v>1038</v>
      </c>
      <c r="M817" t="s">
        <v>1039</v>
      </c>
      <c r="N817">
        <v>1</v>
      </c>
      <c r="O817" t="s">
        <v>1045</v>
      </c>
    </row>
    <row r="818" spans="1:15" x14ac:dyDescent="0.25">
      <c r="A818">
        <v>715</v>
      </c>
      <c r="B818" s="6">
        <v>45256</v>
      </c>
      <c r="C818" s="5" t="s">
        <v>840</v>
      </c>
      <c r="D818" s="5" t="s">
        <v>1</v>
      </c>
      <c r="E818">
        <v>42</v>
      </c>
      <c r="F818" s="5" t="s">
        <v>717</v>
      </c>
      <c r="G818">
        <v>4</v>
      </c>
      <c r="H818">
        <v>25</v>
      </c>
      <c r="I818">
        <v>100</v>
      </c>
      <c r="J818" t="s">
        <v>20</v>
      </c>
      <c r="K818" t="s">
        <v>1028</v>
      </c>
      <c r="L818" t="s">
        <v>1038</v>
      </c>
      <c r="M818" t="s">
        <v>1047</v>
      </c>
      <c r="N818">
        <v>11</v>
      </c>
      <c r="O818" t="s">
        <v>1048</v>
      </c>
    </row>
    <row r="819" spans="1:15" x14ac:dyDescent="0.25">
      <c r="A819">
        <v>718</v>
      </c>
      <c r="B819" s="6">
        <v>45163</v>
      </c>
      <c r="C819" s="5" t="s">
        <v>841</v>
      </c>
      <c r="D819" s="5" t="s">
        <v>1</v>
      </c>
      <c r="E819">
        <v>59</v>
      </c>
      <c r="F819" s="5" t="s">
        <v>717</v>
      </c>
      <c r="G819">
        <v>3</v>
      </c>
      <c r="H819">
        <v>25</v>
      </c>
      <c r="I819">
        <v>75</v>
      </c>
      <c r="J819" t="s">
        <v>24</v>
      </c>
      <c r="K819" t="s">
        <v>1030</v>
      </c>
      <c r="L819" t="s">
        <v>1038</v>
      </c>
      <c r="M819" t="s">
        <v>1033</v>
      </c>
      <c r="N819">
        <v>8</v>
      </c>
      <c r="O819" t="s">
        <v>1051</v>
      </c>
    </row>
    <row r="820" spans="1:15" x14ac:dyDescent="0.25">
      <c r="A820">
        <v>722</v>
      </c>
      <c r="B820" s="6">
        <v>45121</v>
      </c>
      <c r="C820" s="5" t="s">
        <v>842</v>
      </c>
      <c r="D820" s="5" t="s">
        <v>2</v>
      </c>
      <c r="E820">
        <v>20</v>
      </c>
      <c r="F820" s="5" t="s">
        <v>717</v>
      </c>
      <c r="G820">
        <v>3</v>
      </c>
      <c r="H820">
        <v>300</v>
      </c>
      <c r="I820">
        <v>900</v>
      </c>
      <c r="J820" t="s">
        <v>22</v>
      </c>
      <c r="K820" t="s">
        <v>1029</v>
      </c>
      <c r="L820" t="s">
        <v>1038</v>
      </c>
      <c r="M820" t="s">
        <v>1033</v>
      </c>
      <c r="N820">
        <v>7</v>
      </c>
      <c r="O820" t="s">
        <v>1046</v>
      </c>
    </row>
    <row r="821" spans="1:15" x14ac:dyDescent="0.25">
      <c r="A821">
        <v>727</v>
      </c>
      <c r="B821" s="6">
        <v>45099</v>
      </c>
      <c r="C821" s="5" t="s">
        <v>843</v>
      </c>
      <c r="D821" s="5" t="s">
        <v>2</v>
      </c>
      <c r="E821">
        <v>55</v>
      </c>
      <c r="F821" s="5" t="s">
        <v>717</v>
      </c>
      <c r="G821">
        <v>3</v>
      </c>
      <c r="H821">
        <v>300</v>
      </c>
      <c r="I821">
        <v>900</v>
      </c>
      <c r="J821" t="s">
        <v>20</v>
      </c>
      <c r="K821" t="s">
        <v>1028</v>
      </c>
      <c r="L821" t="s">
        <v>1038</v>
      </c>
      <c r="M821" t="s">
        <v>1041</v>
      </c>
      <c r="N821">
        <v>6</v>
      </c>
      <c r="O821" t="s">
        <v>1050</v>
      </c>
    </row>
    <row r="822" spans="1:15" x14ac:dyDescent="0.25">
      <c r="A822">
        <v>733</v>
      </c>
      <c r="B822" s="6">
        <v>45167</v>
      </c>
      <c r="C822" s="5" t="s">
        <v>844</v>
      </c>
      <c r="D822" s="5" t="s">
        <v>2</v>
      </c>
      <c r="E822">
        <v>34</v>
      </c>
      <c r="F822" s="5" t="s">
        <v>717</v>
      </c>
      <c r="G822">
        <v>1</v>
      </c>
      <c r="H822">
        <v>30</v>
      </c>
      <c r="I822">
        <v>30</v>
      </c>
      <c r="J822" t="s">
        <v>20</v>
      </c>
      <c r="K822" t="s">
        <v>1028</v>
      </c>
      <c r="L822" t="s">
        <v>1038</v>
      </c>
      <c r="M822" t="s">
        <v>1033</v>
      </c>
      <c r="N822">
        <v>8</v>
      </c>
      <c r="O822" t="s">
        <v>1051</v>
      </c>
    </row>
    <row r="823" spans="1:15" x14ac:dyDescent="0.25">
      <c r="A823">
        <v>739</v>
      </c>
      <c r="B823" s="6">
        <v>45259</v>
      </c>
      <c r="C823" s="5" t="s">
        <v>845</v>
      </c>
      <c r="D823" s="5" t="s">
        <v>2</v>
      </c>
      <c r="E823">
        <v>36</v>
      </c>
      <c r="F823" s="5" t="s">
        <v>717</v>
      </c>
      <c r="G823">
        <v>1</v>
      </c>
      <c r="H823">
        <v>25</v>
      </c>
      <c r="I823">
        <v>25</v>
      </c>
      <c r="J823" t="s">
        <v>20</v>
      </c>
      <c r="K823" t="s">
        <v>1028</v>
      </c>
      <c r="L823" t="s">
        <v>1038</v>
      </c>
      <c r="M823" t="s">
        <v>1047</v>
      </c>
      <c r="N823">
        <v>11</v>
      </c>
      <c r="O823" t="s">
        <v>1048</v>
      </c>
    </row>
    <row r="824" spans="1:15" x14ac:dyDescent="0.25">
      <c r="A824">
        <v>747</v>
      </c>
      <c r="B824" s="6">
        <v>45245</v>
      </c>
      <c r="C824" s="5" t="s">
        <v>846</v>
      </c>
      <c r="D824" s="5" t="s">
        <v>2</v>
      </c>
      <c r="E824">
        <v>23</v>
      </c>
      <c r="F824" s="5" t="s">
        <v>717</v>
      </c>
      <c r="G824">
        <v>1</v>
      </c>
      <c r="H824">
        <v>30</v>
      </c>
      <c r="I824">
        <v>30</v>
      </c>
      <c r="J824" t="s">
        <v>22</v>
      </c>
      <c r="K824" t="s">
        <v>1029</v>
      </c>
      <c r="L824" t="s">
        <v>1038</v>
      </c>
      <c r="M824" t="s">
        <v>1047</v>
      </c>
      <c r="N824">
        <v>11</v>
      </c>
      <c r="O824" t="s">
        <v>1048</v>
      </c>
    </row>
    <row r="825" spans="1:15" x14ac:dyDescent="0.25">
      <c r="A825">
        <v>749</v>
      </c>
      <c r="B825" s="6">
        <v>45049</v>
      </c>
      <c r="C825" s="5" t="s">
        <v>847</v>
      </c>
      <c r="D825" s="5" t="s">
        <v>2</v>
      </c>
      <c r="E825">
        <v>42</v>
      </c>
      <c r="F825" s="5" t="s">
        <v>717</v>
      </c>
      <c r="G825">
        <v>1</v>
      </c>
      <c r="H825">
        <v>30</v>
      </c>
      <c r="I825">
        <v>30</v>
      </c>
      <c r="J825" t="s">
        <v>20</v>
      </c>
      <c r="K825" t="s">
        <v>1028</v>
      </c>
      <c r="L825" t="s">
        <v>1038</v>
      </c>
      <c r="M825" t="s">
        <v>1041</v>
      </c>
      <c r="N825">
        <v>5</v>
      </c>
      <c r="O825" t="s">
        <v>1032</v>
      </c>
    </row>
    <row r="826" spans="1:15" x14ac:dyDescent="0.25">
      <c r="A826">
        <v>767</v>
      </c>
      <c r="B826" s="6">
        <v>45223</v>
      </c>
      <c r="C826" s="5" t="s">
        <v>848</v>
      </c>
      <c r="D826" s="5" t="s">
        <v>2</v>
      </c>
      <c r="E826">
        <v>39</v>
      </c>
      <c r="F826" s="5" t="s">
        <v>717</v>
      </c>
      <c r="G826">
        <v>3</v>
      </c>
      <c r="H826">
        <v>25</v>
      </c>
      <c r="I826">
        <v>75</v>
      </c>
      <c r="J826" t="s">
        <v>20</v>
      </c>
      <c r="K826" t="s">
        <v>1028</v>
      </c>
      <c r="L826" t="s">
        <v>1038</v>
      </c>
      <c r="M826" t="s">
        <v>1047</v>
      </c>
      <c r="N826">
        <v>10</v>
      </c>
      <c r="O826" t="s">
        <v>1049</v>
      </c>
    </row>
    <row r="827" spans="1:15" x14ac:dyDescent="0.25">
      <c r="A827">
        <v>768</v>
      </c>
      <c r="B827" s="6">
        <v>44940</v>
      </c>
      <c r="C827" s="5" t="s">
        <v>849</v>
      </c>
      <c r="D827" s="5" t="s">
        <v>1</v>
      </c>
      <c r="E827">
        <v>24</v>
      </c>
      <c r="F827" s="5" t="s">
        <v>717</v>
      </c>
      <c r="G827">
        <v>3</v>
      </c>
      <c r="H827">
        <v>25</v>
      </c>
      <c r="I827">
        <v>75</v>
      </c>
      <c r="J827" t="s">
        <v>22</v>
      </c>
      <c r="K827" t="s">
        <v>1029</v>
      </c>
      <c r="L827" t="s">
        <v>1038</v>
      </c>
      <c r="M827" t="s">
        <v>1039</v>
      </c>
      <c r="N827">
        <v>1</v>
      </c>
      <c r="O827" t="s">
        <v>1045</v>
      </c>
    </row>
    <row r="828" spans="1:15" x14ac:dyDescent="0.25">
      <c r="A828">
        <v>778</v>
      </c>
      <c r="B828" s="6">
        <v>45248</v>
      </c>
      <c r="C828" s="5" t="s">
        <v>850</v>
      </c>
      <c r="D828" s="5" t="s">
        <v>1</v>
      </c>
      <c r="E828">
        <v>47</v>
      </c>
      <c r="F828" s="5" t="s">
        <v>717</v>
      </c>
      <c r="G828">
        <v>4</v>
      </c>
      <c r="H828">
        <v>25</v>
      </c>
      <c r="I828">
        <v>100</v>
      </c>
      <c r="J828" t="s">
        <v>20</v>
      </c>
      <c r="K828" t="s">
        <v>1028</v>
      </c>
      <c r="L828" t="s">
        <v>1038</v>
      </c>
      <c r="M828" t="s">
        <v>1047</v>
      </c>
      <c r="N828">
        <v>11</v>
      </c>
      <c r="O828" t="s">
        <v>1048</v>
      </c>
    </row>
    <row r="829" spans="1:15" x14ac:dyDescent="0.25">
      <c r="A829">
        <v>788</v>
      </c>
      <c r="B829" s="6">
        <v>45104</v>
      </c>
      <c r="C829" s="5" t="s">
        <v>851</v>
      </c>
      <c r="D829" s="5" t="s">
        <v>1</v>
      </c>
      <c r="E829">
        <v>52</v>
      </c>
      <c r="F829" s="5" t="s">
        <v>717</v>
      </c>
      <c r="G829">
        <v>3</v>
      </c>
      <c r="H829">
        <v>300</v>
      </c>
      <c r="I829">
        <v>900</v>
      </c>
      <c r="J829" t="s">
        <v>20</v>
      </c>
      <c r="K829" t="s">
        <v>1028</v>
      </c>
      <c r="L829" t="s">
        <v>1038</v>
      </c>
      <c r="M829" t="s">
        <v>1041</v>
      </c>
      <c r="N829">
        <v>6</v>
      </c>
      <c r="O829" t="s">
        <v>1050</v>
      </c>
    </row>
    <row r="830" spans="1:15" x14ac:dyDescent="0.25">
      <c r="A830">
        <v>791</v>
      </c>
      <c r="B830" s="6">
        <v>45265</v>
      </c>
      <c r="C830" s="5" t="s">
        <v>852</v>
      </c>
      <c r="D830" s="5" t="s">
        <v>1</v>
      </c>
      <c r="E830">
        <v>51</v>
      </c>
      <c r="F830" s="5" t="s">
        <v>717</v>
      </c>
      <c r="G830">
        <v>1</v>
      </c>
      <c r="H830">
        <v>25</v>
      </c>
      <c r="I830">
        <v>25</v>
      </c>
      <c r="J830" t="s">
        <v>20</v>
      </c>
      <c r="K830" t="s">
        <v>1028</v>
      </c>
      <c r="L830" t="s">
        <v>1038</v>
      </c>
      <c r="M830" t="s">
        <v>1047</v>
      </c>
      <c r="N830">
        <v>12</v>
      </c>
      <c r="O830" t="s">
        <v>1052</v>
      </c>
    </row>
    <row r="831" spans="1:15" x14ac:dyDescent="0.25">
      <c r="A831">
        <v>793</v>
      </c>
      <c r="B831" s="6">
        <v>44962</v>
      </c>
      <c r="C831" s="5" t="s">
        <v>853</v>
      </c>
      <c r="D831" s="5" t="s">
        <v>2</v>
      </c>
      <c r="E831">
        <v>54</v>
      </c>
      <c r="F831" s="5" t="s">
        <v>717</v>
      </c>
      <c r="G831">
        <v>1</v>
      </c>
      <c r="H831">
        <v>30</v>
      </c>
      <c r="I831">
        <v>30</v>
      </c>
      <c r="J831" t="s">
        <v>20</v>
      </c>
      <c r="K831" t="s">
        <v>1028</v>
      </c>
      <c r="L831" t="s">
        <v>1038</v>
      </c>
      <c r="M831" t="s">
        <v>1039</v>
      </c>
      <c r="N831">
        <v>2</v>
      </c>
      <c r="O831" t="s">
        <v>1044</v>
      </c>
    </row>
    <row r="832" spans="1:15" x14ac:dyDescent="0.25">
      <c r="A832">
        <v>794</v>
      </c>
      <c r="B832" s="6">
        <v>45186</v>
      </c>
      <c r="C832" s="5" t="s">
        <v>854</v>
      </c>
      <c r="D832" s="5" t="s">
        <v>1</v>
      </c>
      <c r="E832">
        <v>60</v>
      </c>
      <c r="F832" s="5" t="s">
        <v>717</v>
      </c>
      <c r="G832">
        <v>1</v>
      </c>
      <c r="H832">
        <v>300</v>
      </c>
      <c r="I832">
        <v>300</v>
      </c>
      <c r="J832" t="s">
        <v>24</v>
      </c>
      <c r="K832" t="s">
        <v>1030</v>
      </c>
      <c r="L832" t="s">
        <v>1038</v>
      </c>
      <c r="M832" t="s">
        <v>1033</v>
      </c>
      <c r="N832">
        <v>9</v>
      </c>
      <c r="O832" t="s">
        <v>1043</v>
      </c>
    </row>
    <row r="833" spans="1:15" x14ac:dyDescent="0.25">
      <c r="A833">
        <v>796</v>
      </c>
      <c r="B833" s="6">
        <v>45101</v>
      </c>
      <c r="C833" s="5" t="s">
        <v>855</v>
      </c>
      <c r="D833" s="5" t="s">
        <v>2</v>
      </c>
      <c r="E833">
        <v>43</v>
      </c>
      <c r="F833" s="5" t="s">
        <v>717</v>
      </c>
      <c r="G833">
        <v>4</v>
      </c>
      <c r="H833">
        <v>30</v>
      </c>
      <c r="I833">
        <v>120</v>
      </c>
      <c r="J833" t="s">
        <v>20</v>
      </c>
      <c r="K833" t="s">
        <v>1028</v>
      </c>
      <c r="L833" t="s">
        <v>1038</v>
      </c>
      <c r="M833" t="s">
        <v>1041</v>
      </c>
      <c r="N833">
        <v>6</v>
      </c>
      <c r="O833" t="s">
        <v>1050</v>
      </c>
    </row>
    <row r="834" spans="1:15" x14ac:dyDescent="0.25">
      <c r="A834">
        <v>802</v>
      </c>
      <c r="B834" s="6">
        <v>45112</v>
      </c>
      <c r="C834" s="5" t="s">
        <v>856</v>
      </c>
      <c r="D834" s="5" t="s">
        <v>1</v>
      </c>
      <c r="E834">
        <v>46</v>
      </c>
      <c r="F834" s="5" t="s">
        <v>717</v>
      </c>
      <c r="G834">
        <v>1</v>
      </c>
      <c r="H834">
        <v>30</v>
      </c>
      <c r="I834">
        <v>30</v>
      </c>
      <c r="J834" t="s">
        <v>20</v>
      </c>
      <c r="K834" t="s">
        <v>1028</v>
      </c>
      <c r="L834" t="s">
        <v>1038</v>
      </c>
      <c r="M834" t="s">
        <v>1033</v>
      </c>
      <c r="N834">
        <v>7</v>
      </c>
      <c r="O834" t="s">
        <v>1046</v>
      </c>
    </row>
    <row r="835" spans="1:15" x14ac:dyDescent="0.25">
      <c r="A835">
        <v>806</v>
      </c>
      <c r="B835" s="6">
        <v>45005</v>
      </c>
      <c r="C835" s="5" t="s">
        <v>857</v>
      </c>
      <c r="D835" s="5" t="s">
        <v>1</v>
      </c>
      <c r="E835">
        <v>35</v>
      </c>
      <c r="F835" s="5" t="s">
        <v>717</v>
      </c>
      <c r="G835">
        <v>3</v>
      </c>
      <c r="H835">
        <v>300</v>
      </c>
      <c r="I835">
        <v>900</v>
      </c>
      <c r="J835" t="s">
        <v>20</v>
      </c>
      <c r="K835" t="s">
        <v>1028</v>
      </c>
      <c r="L835" t="s">
        <v>1038</v>
      </c>
      <c r="M835" t="s">
        <v>1039</v>
      </c>
      <c r="N835">
        <v>3</v>
      </c>
      <c r="O835" t="s">
        <v>1040</v>
      </c>
    </row>
    <row r="836" spans="1:15" x14ac:dyDescent="0.25">
      <c r="A836">
        <v>811</v>
      </c>
      <c r="B836" s="6">
        <v>45065</v>
      </c>
      <c r="C836" s="5" t="s">
        <v>858</v>
      </c>
      <c r="D836" s="5" t="s">
        <v>2</v>
      </c>
      <c r="E836">
        <v>61</v>
      </c>
      <c r="F836" s="5" t="s">
        <v>717</v>
      </c>
      <c r="G836">
        <v>2</v>
      </c>
      <c r="H836">
        <v>25</v>
      </c>
      <c r="I836">
        <v>50</v>
      </c>
      <c r="J836" t="s">
        <v>24</v>
      </c>
      <c r="K836" t="s">
        <v>1030</v>
      </c>
      <c r="L836" t="s">
        <v>1038</v>
      </c>
      <c r="M836" t="s">
        <v>1041</v>
      </c>
      <c r="N836">
        <v>5</v>
      </c>
      <c r="O836" t="s">
        <v>1032</v>
      </c>
    </row>
    <row r="837" spans="1:15" x14ac:dyDescent="0.25">
      <c r="A837">
        <v>825</v>
      </c>
      <c r="B837" s="6">
        <v>45164</v>
      </c>
      <c r="C837" s="5" t="s">
        <v>859</v>
      </c>
      <c r="D837" s="5" t="s">
        <v>1</v>
      </c>
      <c r="E837">
        <v>46</v>
      </c>
      <c r="F837" s="5" t="s">
        <v>717</v>
      </c>
      <c r="G837">
        <v>1</v>
      </c>
      <c r="H837">
        <v>25</v>
      </c>
      <c r="I837">
        <v>25</v>
      </c>
      <c r="J837" t="s">
        <v>20</v>
      </c>
      <c r="K837" t="s">
        <v>1028</v>
      </c>
      <c r="L837" t="s">
        <v>1038</v>
      </c>
      <c r="M837" t="s">
        <v>1033</v>
      </c>
      <c r="N837">
        <v>8</v>
      </c>
      <c r="O837" t="s">
        <v>1051</v>
      </c>
    </row>
    <row r="838" spans="1:15" x14ac:dyDescent="0.25">
      <c r="A838">
        <v>827</v>
      </c>
      <c r="B838" s="6">
        <v>45239</v>
      </c>
      <c r="C838" s="5" t="s">
        <v>860</v>
      </c>
      <c r="D838" s="5" t="s">
        <v>2</v>
      </c>
      <c r="E838">
        <v>61</v>
      </c>
      <c r="F838" s="5" t="s">
        <v>717</v>
      </c>
      <c r="G838">
        <v>3</v>
      </c>
      <c r="H838">
        <v>300</v>
      </c>
      <c r="I838">
        <v>900</v>
      </c>
      <c r="J838" t="s">
        <v>24</v>
      </c>
      <c r="K838" t="s">
        <v>1030</v>
      </c>
      <c r="L838" t="s">
        <v>1038</v>
      </c>
      <c r="M838" t="s">
        <v>1047</v>
      </c>
      <c r="N838">
        <v>11</v>
      </c>
      <c r="O838" t="s">
        <v>1048</v>
      </c>
    </row>
    <row r="839" spans="1:15" x14ac:dyDescent="0.25">
      <c r="A839">
        <v>829</v>
      </c>
      <c r="B839" s="6">
        <v>45121</v>
      </c>
      <c r="C839" s="5" t="s">
        <v>861</v>
      </c>
      <c r="D839" s="5" t="s">
        <v>2</v>
      </c>
      <c r="E839">
        <v>61</v>
      </c>
      <c r="F839" s="5" t="s">
        <v>717</v>
      </c>
      <c r="G839">
        <v>3</v>
      </c>
      <c r="H839">
        <v>30</v>
      </c>
      <c r="I839">
        <v>90</v>
      </c>
      <c r="J839" t="s">
        <v>24</v>
      </c>
      <c r="K839" t="s">
        <v>1030</v>
      </c>
      <c r="L839" t="s">
        <v>1038</v>
      </c>
      <c r="M839" t="s">
        <v>1033</v>
      </c>
      <c r="N839">
        <v>7</v>
      </c>
      <c r="O839" t="s">
        <v>1046</v>
      </c>
    </row>
    <row r="840" spans="1:15" x14ac:dyDescent="0.25">
      <c r="A840">
        <v>834</v>
      </c>
      <c r="B840" s="6">
        <v>45020</v>
      </c>
      <c r="C840" s="5" t="s">
        <v>862</v>
      </c>
      <c r="D840" s="5" t="s">
        <v>1</v>
      </c>
      <c r="E840">
        <v>56</v>
      </c>
      <c r="F840" s="5" t="s">
        <v>717</v>
      </c>
      <c r="G840">
        <v>2</v>
      </c>
      <c r="H840">
        <v>30</v>
      </c>
      <c r="I840">
        <v>60</v>
      </c>
      <c r="J840" t="s">
        <v>24</v>
      </c>
      <c r="K840" t="s">
        <v>1030</v>
      </c>
      <c r="L840" t="s">
        <v>1038</v>
      </c>
      <c r="M840" t="s">
        <v>1041</v>
      </c>
      <c r="N840">
        <v>4</v>
      </c>
      <c r="O840" t="s">
        <v>1042</v>
      </c>
    </row>
    <row r="841" spans="1:15" x14ac:dyDescent="0.25">
      <c r="A841">
        <v>837</v>
      </c>
      <c r="B841" s="6">
        <v>45108</v>
      </c>
      <c r="C841" s="5" t="s">
        <v>863</v>
      </c>
      <c r="D841" s="5" t="s">
        <v>2</v>
      </c>
      <c r="E841">
        <v>18</v>
      </c>
      <c r="F841" s="5" t="s">
        <v>717</v>
      </c>
      <c r="G841">
        <v>3</v>
      </c>
      <c r="H841">
        <v>30</v>
      </c>
      <c r="I841">
        <v>90</v>
      </c>
      <c r="J841" t="s">
        <v>22</v>
      </c>
      <c r="K841" t="s">
        <v>1029</v>
      </c>
      <c r="L841" t="s">
        <v>1038</v>
      </c>
      <c r="M841" t="s">
        <v>1033</v>
      </c>
      <c r="N841">
        <v>7</v>
      </c>
      <c r="O841" t="s">
        <v>1046</v>
      </c>
    </row>
    <row r="842" spans="1:15" x14ac:dyDescent="0.25">
      <c r="A842">
        <v>855</v>
      </c>
      <c r="B842" s="6">
        <v>45170</v>
      </c>
      <c r="C842" s="5" t="s">
        <v>864</v>
      </c>
      <c r="D842" s="5" t="s">
        <v>2</v>
      </c>
      <c r="E842">
        <v>54</v>
      </c>
      <c r="F842" s="5" t="s">
        <v>717</v>
      </c>
      <c r="G842">
        <v>1</v>
      </c>
      <c r="H842">
        <v>25</v>
      </c>
      <c r="I842">
        <v>25</v>
      </c>
      <c r="J842" t="s">
        <v>20</v>
      </c>
      <c r="K842" t="s">
        <v>1028</v>
      </c>
      <c r="L842" t="s">
        <v>1038</v>
      </c>
      <c r="M842" t="s">
        <v>1033</v>
      </c>
      <c r="N842">
        <v>9</v>
      </c>
      <c r="O842" t="s">
        <v>1043</v>
      </c>
    </row>
    <row r="843" spans="1:15" x14ac:dyDescent="0.25">
      <c r="A843">
        <v>871</v>
      </c>
      <c r="B843" s="6">
        <v>45169</v>
      </c>
      <c r="C843" s="5" t="s">
        <v>865</v>
      </c>
      <c r="D843" s="5" t="s">
        <v>2</v>
      </c>
      <c r="E843">
        <v>62</v>
      </c>
      <c r="F843" s="5" t="s">
        <v>717</v>
      </c>
      <c r="G843">
        <v>2</v>
      </c>
      <c r="H843">
        <v>30</v>
      </c>
      <c r="I843">
        <v>60</v>
      </c>
      <c r="J843" t="s">
        <v>24</v>
      </c>
      <c r="K843" t="s">
        <v>1030</v>
      </c>
      <c r="L843" t="s">
        <v>1038</v>
      </c>
      <c r="M843" t="s">
        <v>1033</v>
      </c>
      <c r="N843">
        <v>8</v>
      </c>
      <c r="O843" t="s">
        <v>1051</v>
      </c>
    </row>
    <row r="844" spans="1:15" x14ac:dyDescent="0.25">
      <c r="A844">
        <v>872</v>
      </c>
      <c r="B844" s="6">
        <v>45210</v>
      </c>
      <c r="C844" s="5" t="s">
        <v>866</v>
      </c>
      <c r="D844" s="5" t="s">
        <v>1</v>
      </c>
      <c r="E844">
        <v>63</v>
      </c>
      <c r="F844" s="5" t="s">
        <v>717</v>
      </c>
      <c r="G844">
        <v>3</v>
      </c>
      <c r="H844">
        <v>25</v>
      </c>
      <c r="I844">
        <v>75</v>
      </c>
      <c r="J844" t="s">
        <v>24</v>
      </c>
      <c r="K844" t="s">
        <v>1030</v>
      </c>
      <c r="L844" t="s">
        <v>1038</v>
      </c>
      <c r="M844" t="s">
        <v>1047</v>
      </c>
      <c r="N844">
        <v>10</v>
      </c>
      <c r="O844" t="s">
        <v>1049</v>
      </c>
    </row>
    <row r="845" spans="1:15" x14ac:dyDescent="0.25">
      <c r="A845">
        <v>874</v>
      </c>
      <c r="B845" s="6">
        <v>45103</v>
      </c>
      <c r="C845" s="5" t="s">
        <v>867</v>
      </c>
      <c r="D845" s="5" t="s">
        <v>2</v>
      </c>
      <c r="E845">
        <v>60</v>
      </c>
      <c r="F845" s="5" t="s">
        <v>717</v>
      </c>
      <c r="G845">
        <v>1</v>
      </c>
      <c r="H845">
        <v>30</v>
      </c>
      <c r="I845">
        <v>30</v>
      </c>
      <c r="J845" t="s">
        <v>24</v>
      </c>
      <c r="K845" t="s">
        <v>1030</v>
      </c>
      <c r="L845" t="s">
        <v>1038</v>
      </c>
      <c r="M845" t="s">
        <v>1041</v>
      </c>
      <c r="N845">
        <v>6</v>
      </c>
      <c r="O845" t="s">
        <v>1050</v>
      </c>
    </row>
    <row r="846" spans="1:15" x14ac:dyDescent="0.25">
      <c r="A846">
        <v>905</v>
      </c>
      <c r="B846" s="6">
        <v>45018</v>
      </c>
      <c r="C846" s="5" t="s">
        <v>868</v>
      </c>
      <c r="D846" s="5" t="s">
        <v>2</v>
      </c>
      <c r="E846">
        <v>58</v>
      </c>
      <c r="F846" s="5" t="s">
        <v>717</v>
      </c>
      <c r="G846">
        <v>1</v>
      </c>
      <c r="H846">
        <v>300</v>
      </c>
      <c r="I846">
        <v>300</v>
      </c>
      <c r="J846" t="s">
        <v>24</v>
      </c>
      <c r="K846" t="s">
        <v>1030</v>
      </c>
      <c r="L846" t="s">
        <v>1038</v>
      </c>
      <c r="M846" t="s">
        <v>1041</v>
      </c>
      <c r="N846">
        <v>4</v>
      </c>
      <c r="O846" t="s">
        <v>1042</v>
      </c>
    </row>
    <row r="847" spans="1:15" x14ac:dyDescent="0.25">
      <c r="A847">
        <v>908</v>
      </c>
      <c r="B847" s="6">
        <v>45289</v>
      </c>
      <c r="C847" s="5" t="s">
        <v>869</v>
      </c>
      <c r="D847" s="5" t="s">
        <v>2</v>
      </c>
      <c r="E847">
        <v>46</v>
      </c>
      <c r="F847" s="5" t="s">
        <v>717</v>
      </c>
      <c r="G847">
        <v>4</v>
      </c>
      <c r="H847">
        <v>300</v>
      </c>
      <c r="I847">
        <v>1200</v>
      </c>
      <c r="J847" t="s">
        <v>20</v>
      </c>
      <c r="K847" t="s">
        <v>1028</v>
      </c>
      <c r="L847" t="s">
        <v>1038</v>
      </c>
      <c r="M847" t="s">
        <v>1047</v>
      </c>
      <c r="N847">
        <v>12</v>
      </c>
      <c r="O847" t="s">
        <v>1052</v>
      </c>
    </row>
    <row r="848" spans="1:15" x14ac:dyDescent="0.25">
      <c r="A848">
        <v>915</v>
      </c>
      <c r="B848" s="6">
        <v>45076</v>
      </c>
      <c r="C848" s="5" t="s">
        <v>870</v>
      </c>
      <c r="D848" s="5" t="s">
        <v>1</v>
      </c>
      <c r="E848">
        <v>26</v>
      </c>
      <c r="F848" s="5" t="s">
        <v>717</v>
      </c>
      <c r="G848">
        <v>3</v>
      </c>
      <c r="H848">
        <v>30</v>
      </c>
      <c r="I848">
        <v>90</v>
      </c>
      <c r="J848" t="s">
        <v>22</v>
      </c>
      <c r="K848" t="s">
        <v>1029</v>
      </c>
      <c r="L848" t="s">
        <v>1038</v>
      </c>
      <c r="M848" t="s">
        <v>1041</v>
      </c>
      <c r="N848">
        <v>5</v>
      </c>
      <c r="O848" t="s">
        <v>1032</v>
      </c>
    </row>
    <row r="849" spans="1:15" x14ac:dyDescent="0.25">
      <c r="A849">
        <v>919</v>
      </c>
      <c r="B849" s="6">
        <v>45178</v>
      </c>
      <c r="C849" s="5" t="s">
        <v>871</v>
      </c>
      <c r="D849" s="5" t="s">
        <v>1</v>
      </c>
      <c r="E849">
        <v>22</v>
      </c>
      <c r="F849" s="5" t="s">
        <v>717</v>
      </c>
      <c r="G849">
        <v>2</v>
      </c>
      <c r="H849">
        <v>25</v>
      </c>
      <c r="I849">
        <v>50</v>
      </c>
      <c r="J849" t="s">
        <v>22</v>
      </c>
      <c r="K849" t="s">
        <v>1029</v>
      </c>
      <c r="L849" t="s">
        <v>1038</v>
      </c>
      <c r="M849" t="s">
        <v>1033</v>
      </c>
      <c r="N849">
        <v>9</v>
      </c>
      <c r="O849" t="s">
        <v>1043</v>
      </c>
    </row>
    <row r="850" spans="1:15" x14ac:dyDescent="0.25">
      <c r="A850">
        <v>920</v>
      </c>
      <c r="B850" s="6">
        <v>44979</v>
      </c>
      <c r="C850" s="5" t="s">
        <v>872</v>
      </c>
      <c r="D850" s="5" t="s">
        <v>1</v>
      </c>
      <c r="E850">
        <v>28</v>
      </c>
      <c r="F850" s="5" t="s">
        <v>717</v>
      </c>
      <c r="G850">
        <v>3</v>
      </c>
      <c r="H850">
        <v>25</v>
      </c>
      <c r="I850">
        <v>75</v>
      </c>
      <c r="J850" t="s">
        <v>22</v>
      </c>
      <c r="K850" t="s">
        <v>1029</v>
      </c>
      <c r="L850" t="s">
        <v>1038</v>
      </c>
      <c r="M850" t="s">
        <v>1039</v>
      </c>
      <c r="N850">
        <v>2</v>
      </c>
      <c r="O850" t="s">
        <v>1044</v>
      </c>
    </row>
    <row r="851" spans="1:15" x14ac:dyDescent="0.25">
      <c r="A851">
        <v>923</v>
      </c>
      <c r="B851" s="6">
        <v>45072</v>
      </c>
      <c r="C851" s="5" t="s">
        <v>873</v>
      </c>
      <c r="D851" s="5" t="s">
        <v>2</v>
      </c>
      <c r="E851">
        <v>32</v>
      </c>
      <c r="F851" s="5" t="s">
        <v>717</v>
      </c>
      <c r="G851">
        <v>3</v>
      </c>
      <c r="H851">
        <v>300</v>
      </c>
      <c r="I851">
        <v>900</v>
      </c>
      <c r="J851" t="s">
        <v>20</v>
      </c>
      <c r="K851" t="s">
        <v>1028</v>
      </c>
      <c r="L851" t="s">
        <v>1038</v>
      </c>
      <c r="M851" t="s">
        <v>1041</v>
      </c>
      <c r="N851">
        <v>5</v>
      </c>
      <c r="O851" t="s">
        <v>1032</v>
      </c>
    </row>
    <row r="852" spans="1:15" x14ac:dyDescent="0.25">
      <c r="A852">
        <v>929</v>
      </c>
      <c r="B852" s="6">
        <v>44953</v>
      </c>
      <c r="C852" s="5" t="s">
        <v>874</v>
      </c>
      <c r="D852" s="5" t="s">
        <v>1</v>
      </c>
      <c r="E852">
        <v>23</v>
      </c>
      <c r="F852" s="5" t="s">
        <v>717</v>
      </c>
      <c r="G852">
        <v>3</v>
      </c>
      <c r="H852">
        <v>25</v>
      </c>
      <c r="I852">
        <v>75</v>
      </c>
      <c r="J852" t="s">
        <v>22</v>
      </c>
      <c r="K852" t="s">
        <v>1029</v>
      </c>
      <c r="L852" t="s">
        <v>1038</v>
      </c>
      <c r="M852" t="s">
        <v>1039</v>
      </c>
      <c r="N852">
        <v>1</v>
      </c>
      <c r="O852" t="s">
        <v>1045</v>
      </c>
    </row>
    <row r="853" spans="1:15" x14ac:dyDescent="0.25">
      <c r="A853">
        <v>931</v>
      </c>
      <c r="B853" s="6">
        <v>45171</v>
      </c>
      <c r="C853" s="5" t="s">
        <v>875</v>
      </c>
      <c r="D853" s="5" t="s">
        <v>2</v>
      </c>
      <c r="E853">
        <v>30</v>
      </c>
      <c r="F853" s="5" t="s">
        <v>717</v>
      </c>
      <c r="G853">
        <v>4</v>
      </c>
      <c r="H853">
        <v>30</v>
      </c>
      <c r="I853">
        <v>120</v>
      </c>
      <c r="J853" t="s">
        <v>20</v>
      </c>
      <c r="K853" t="s">
        <v>1028</v>
      </c>
      <c r="L853" t="s">
        <v>1038</v>
      </c>
      <c r="M853" t="s">
        <v>1033</v>
      </c>
      <c r="N853">
        <v>9</v>
      </c>
      <c r="O853" t="s">
        <v>1043</v>
      </c>
    </row>
    <row r="854" spans="1:15" x14ac:dyDescent="0.25">
      <c r="A854">
        <v>932</v>
      </c>
      <c r="B854" s="6">
        <v>44985</v>
      </c>
      <c r="C854" s="5" t="s">
        <v>876</v>
      </c>
      <c r="D854" s="5" t="s">
        <v>1</v>
      </c>
      <c r="E854">
        <v>45</v>
      </c>
      <c r="F854" s="5" t="s">
        <v>717</v>
      </c>
      <c r="G854">
        <v>4</v>
      </c>
      <c r="H854">
        <v>25</v>
      </c>
      <c r="I854">
        <v>100</v>
      </c>
      <c r="J854" t="s">
        <v>20</v>
      </c>
      <c r="K854" t="s">
        <v>1028</v>
      </c>
      <c r="L854" t="s">
        <v>1038</v>
      </c>
      <c r="M854" t="s">
        <v>1039</v>
      </c>
      <c r="N854">
        <v>2</v>
      </c>
      <c r="O854" t="s">
        <v>1044</v>
      </c>
    </row>
    <row r="855" spans="1:15" x14ac:dyDescent="0.25">
      <c r="A855">
        <v>933</v>
      </c>
      <c r="B855" s="6">
        <v>44960</v>
      </c>
      <c r="C855" s="5" t="s">
        <v>877</v>
      </c>
      <c r="D855" s="5" t="s">
        <v>2</v>
      </c>
      <c r="E855">
        <v>22</v>
      </c>
      <c r="F855" s="5" t="s">
        <v>717</v>
      </c>
      <c r="G855">
        <v>1</v>
      </c>
      <c r="H855">
        <v>30</v>
      </c>
      <c r="I855">
        <v>30</v>
      </c>
      <c r="J855" t="s">
        <v>22</v>
      </c>
      <c r="K855" t="s">
        <v>1029</v>
      </c>
      <c r="L855" t="s">
        <v>1038</v>
      </c>
      <c r="M855" t="s">
        <v>1039</v>
      </c>
      <c r="N855">
        <v>2</v>
      </c>
      <c r="O855" t="s">
        <v>1044</v>
      </c>
    </row>
    <row r="856" spans="1:15" x14ac:dyDescent="0.25">
      <c r="A856">
        <v>945</v>
      </c>
      <c r="B856" s="6">
        <v>44970</v>
      </c>
      <c r="C856" s="5" t="s">
        <v>878</v>
      </c>
      <c r="D856" s="5" t="s">
        <v>2</v>
      </c>
      <c r="E856">
        <v>30</v>
      </c>
      <c r="F856" s="5" t="s">
        <v>717</v>
      </c>
      <c r="G856">
        <v>1</v>
      </c>
      <c r="H856">
        <v>25</v>
      </c>
      <c r="I856">
        <v>25</v>
      </c>
      <c r="J856" t="s">
        <v>20</v>
      </c>
      <c r="K856" t="s">
        <v>1028</v>
      </c>
      <c r="L856" t="s">
        <v>1038</v>
      </c>
      <c r="M856" t="s">
        <v>1039</v>
      </c>
      <c r="N856">
        <v>2</v>
      </c>
      <c r="O856" t="s">
        <v>1044</v>
      </c>
    </row>
    <row r="857" spans="1:15" x14ac:dyDescent="0.25">
      <c r="A857">
        <v>947</v>
      </c>
      <c r="B857" s="6">
        <v>44987</v>
      </c>
      <c r="C857" s="5" t="s">
        <v>879</v>
      </c>
      <c r="D857" s="5" t="s">
        <v>2</v>
      </c>
      <c r="E857">
        <v>50</v>
      </c>
      <c r="F857" s="5" t="s">
        <v>717</v>
      </c>
      <c r="G857">
        <v>1</v>
      </c>
      <c r="H857">
        <v>300</v>
      </c>
      <c r="I857">
        <v>300</v>
      </c>
      <c r="J857" t="s">
        <v>20</v>
      </c>
      <c r="K857" t="s">
        <v>1028</v>
      </c>
      <c r="L857" t="s">
        <v>1038</v>
      </c>
      <c r="M857" t="s">
        <v>1039</v>
      </c>
      <c r="N857">
        <v>3</v>
      </c>
      <c r="O857" t="s">
        <v>1040</v>
      </c>
    </row>
    <row r="858" spans="1:15" x14ac:dyDescent="0.25">
      <c r="A858">
        <v>953</v>
      </c>
      <c r="B858" s="6">
        <v>45042</v>
      </c>
      <c r="C858" s="5" t="s">
        <v>880</v>
      </c>
      <c r="D858" s="5" t="s">
        <v>2</v>
      </c>
      <c r="E858">
        <v>45</v>
      </c>
      <c r="F858" s="5" t="s">
        <v>717</v>
      </c>
      <c r="G858">
        <v>3</v>
      </c>
      <c r="H858">
        <v>30</v>
      </c>
      <c r="I858">
        <v>90</v>
      </c>
      <c r="J858" t="s">
        <v>20</v>
      </c>
      <c r="K858" t="s">
        <v>1028</v>
      </c>
      <c r="L858" t="s">
        <v>1038</v>
      </c>
      <c r="M858" t="s">
        <v>1041</v>
      </c>
      <c r="N858">
        <v>4</v>
      </c>
      <c r="O858" t="s">
        <v>1042</v>
      </c>
    </row>
    <row r="859" spans="1:15" x14ac:dyDescent="0.25">
      <c r="A859">
        <v>967</v>
      </c>
      <c r="B859" s="6">
        <v>45033</v>
      </c>
      <c r="C859" s="5" t="s">
        <v>881</v>
      </c>
      <c r="D859" s="5" t="s">
        <v>2</v>
      </c>
      <c r="E859">
        <v>62</v>
      </c>
      <c r="F859" s="5" t="s">
        <v>717</v>
      </c>
      <c r="G859">
        <v>1</v>
      </c>
      <c r="H859">
        <v>25</v>
      </c>
      <c r="I859">
        <v>25</v>
      </c>
      <c r="J859" t="s">
        <v>24</v>
      </c>
      <c r="K859" t="s">
        <v>1030</v>
      </c>
      <c r="L859" t="s">
        <v>1038</v>
      </c>
      <c r="M859" t="s">
        <v>1041</v>
      </c>
      <c r="N859">
        <v>4</v>
      </c>
      <c r="O859" t="s">
        <v>1042</v>
      </c>
    </row>
    <row r="860" spans="1:15" x14ac:dyDescent="0.25">
      <c r="A860">
        <v>972</v>
      </c>
      <c r="B860" s="6">
        <v>44968</v>
      </c>
      <c r="C860" s="5" t="s">
        <v>882</v>
      </c>
      <c r="D860" s="5" t="s">
        <v>2</v>
      </c>
      <c r="E860">
        <v>49</v>
      </c>
      <c r="F860" s="5" t="s">
        <v>717</v>
      </c>
      <c r="G860">
        <v>4</v>
      </c>
      <c r="H860">
        <v>25</v>
      </c>
      <c r="I860">
        <v>100</v>
      </c>
      <c r="J860" t="s">
        <v>20</v>
      </c>
      <c r="K860" t="s">
        <v>1028</v>
      </c>
      <c r="L860" t="s">
        <v>1038</v>
      </c>
      <c r="M860" t="s">
        <v>1039</v>
      </c>
      <c r="N860">
        <v>2</v>
      </c>
      <c r="O860" t="s">
        <v>1044</v>
      </c>
    </row>
    <row r="861" spans="1:15" x14ac:dyDescent="0.25">
      <c r="A861">
        <v>974</v>
      </c>
      <c r="B861" s="6">
        <v>45049</v>
      </c>
      <c r="C861" s="5" t="s">
        <v>883</v>
      </c>
      <c r="D861" s="5" t="s">
        <v>2</v>
      </c>
      <c r="E861">
        <v>47</v>
      </c>
      <c r="F861" s="5" t="s">
        <v>717</v>
      </c>
      <c r="G861">
        <v>1</v>
      </c>
      <c r="H861">
        <v>30</v>
      </c>
      <c r="I861">
        <v>30</v>
      </c>
      <c r="J861" t="s">
        <v>20</v>
      </c>
      <c r="K861" t="s">
        <v>1028</v>
      </c>
      <c r="L861" t="s">
        <v>1038</v>
      </c>
      <c r="M861" t="s">
        <v>1041</v>
      </c>
      <c r="N861">
        <v>5</v>
      </c>
      <c r="O861" t="s">
        <v>1032</v>
      </c>
    </row>
    <row r="862" spans="1:15" x14ac:dyDescent="0.25">
      <c r="A862">
        <v>976</v>
      </c>
      <c r="B862" s="6">
        <v>45209</v>
      </c>
      <c r="C862" s="5" t="s">
        <v>884</v>
      </c>
      <c r="D862" s="5" t="s">
        <v>1</v>
      </c>
      <c r="E862">
        <v>48</v>
      </c>
      <c r="F862" s="5" t="s">
        <v>717</v>
      </c>
      <c r="G862">
        <v>2</v>
      </c>
      <c r="H862">
        <v>300</v>
      </c>
      <c r="I862">
        <v>600</v>
      </c>
      <c r="J862" t="s">
        <v>20</v>
      </c>
      <c r="K862" t="s">
        <v>1028</v>
      </c>
      <c r="L862" t="s">
        <v>1038</v>
      </c>
      <c r="M862" t="s">
        <v>1047</v>
      </c>
      <c r="N862">
        <v>10</v>
      </c>
      <c r="O862" t="s">
        <v>1049</v>
      </c>
    </row>
    <row r="863" spans="1:15" x14ac:dyDescent="0.25">
      <c r="A863">
        <v>979</v>
      </c>
      <c r="B863" s="6">
        <v>44928</v>
      </c>
      <c r="C863" s="5" t="s">
        <v>885</v>
      </c>
      <c r="D863" s="5" t="s">
        <v>1</v>
      </c>
      <c r="E863">
        <v>19</v>
      </c>
      <c r="F863" s="5" t="s">
        <v>717</v>
      </c>
      <c r="G863">
        <v>1</v>
      </c>
      <c r="H863">
        <v>25</v>
      </c>
      <c r="I863">
        <v>25</v>
      </c>
      <c r="J863" t="s">
        <v>22</v>
      </c>
      <c r="K863" t="s">
        <v>1029</v>
      </c>
      <c r="L863" t="s">
        <v>1038</v>
      </c>
      <c r="M863" t="s">
        <v>1039</v>
      </c>
      <c r="N863">
        <v>1</v>
      </c>
      <c r="O863" t="s">
        <v>1045</v>
      </c>
    </row>
    <row r="864" spans="1:15" x14ac:dyDescent="0.25">
      <c r="A864">
        <v>982</v>
      </c>
      <c r="B864" s="6">
        <v>45279</v>
      </c>
      <c r="C864" s="5" t="s">
        <v>886</v>
      </c>
      <c r="D864" s="5" t="s">
        <v>1</v>
      </c>
      <c r="E864">
        <v>46</v>
      </c>
      <c r="F864" s="5" t="s">
        <v>717</v>
      </c>
      <c r="G864">
        <v>3</v>
      </c>
      <c r="H864">
        <v>30</v>
      </c>
      <c r="I864">
        <v>90</v>
      </c>
      <c r="J864" t="s">
        <v>20</v>
      </c>
      <c r="K864" t="s">
        <v>1028</v>
      </c>
      <c r="L864" t="s">
        <v>1038</v>
      </c>
      <c r="M864" t="s">
        <v>1047</v>
      </c>
      <c r="N864">
        <v>12</v>
      </c>
      <c r="O864" t="s">
        <v>1052</v>
      </c>
    </row>
    <row r="865" spans="1:15" x14ac:dyDescent="0.25">
      <c r="A865">
        <v>997</v>
      </c>
      <c r="B865" s="6">
        <v>45247</v>
      </c>
      <c r="C865" s="5" t="s">
        <v>887</v>
      </c>
      <c r="D865" s="5" t="s">
        <v>2</v>
      </c>
      <c r="E865">
        <v>52</v>
      </c>
      <c r="F865" s="5" t="s">
        <v>717</v>
      </c>
      <c r="G865">
        <v>3</v>
      </c>
      <c r="H865">
        <v>30</v>
      </c>
      <c r="I865">
        <v>90</v>
      </c>
      <c r="J865" t="s">
        <v>20</v>
      </c>
      <c r="K865" t="s">
        <v>1028</v>
      </c>
      <c r="L865" t="s">
        <v>1038</v>
      </c>
      <c r="M865" t="s">
        <v>1047</v>
      </c>
      <c r="N865">
        <v>11</v>
      </c>
      <c r="O865" t="s">
        <v>1048</v>
      </c>
    </row>
    <row r="866" spans="1:15" x14ac:dyDescent="0.25">
      <c r="A866">
        <v>998</v>
      </c>
      <c r="B866" s="6">
        <v>45228</v>
      </c>
      <c r="C866" s="5" t="s">
        <v>888</v>
      </c>
      <c r="D866" s="5" t="s">
        <v>1</v>
      </c>
      <c r="E866">
        <v>23</v>
      </c>
      <c r="F866" s="5" t="s">
        <v>717</v>
      </c>
      <c r="G866">
        <v>4</v>
      </c>
      <c r="H866">
        <v>25</v>
      </c>
      <c r="I866">
        <v>100</v>
      </c>
      <c r="J866" t="s">
        <v>22</v>
      </c>
      <c r="K866" t="s">
        <v>1029</v>
      </c>
      <c r="L866" t="s">
        <v>1038</v>
      </c>
      <c r="M866" t="s">
        <v>1047</v>
      </c>
      <c r="N866">
        <v>10</v>
      </c>
      <c r="O866" t="s">
        <v>1049</v>
      </c>
    </row>
    <row r="867" spans="1:15" x14ac:dyDescent="0.25">
      <c r="A867">
        <v>1</v>
      </c>
      <c r="B867" s="6">
        <v>45254</v>
      </c>
      <c r="C867" s="5" t="s">
        <v>889</v>
      </c>
      <c r="D867" s="5" t="s">
        <v>2</v>
      </c>
      <c r="E867">
        <v>34</v>
      </c>
      <c r="F867" s="5" t="s">
        <v>717</v>
      </c>
      <c r="G867">
        <v>3</v>
      </c>
      <c r="H867">
        <v>50</v>
      </c>
      <c r="I867">
        <v>150</v>
      </c>
      <c r="J867" t="s">
        <v>20</v>
      </c>
      <c r="K867" t="s">
        <v>1028</v>
      </c>
      <c r="L867" t="s">
        <v>1038</v>
      </c>
      <c r="M867" t="s">
        <v>1047</v>
      </c>
      <c r="N867">
        <v>11</v>
      </c>
      <c r="O867" t="s">
        <v>1048</v>
      </c>
    </row>
    <row r="868" spans="1:15" x14ac:dyDescent="0.25">
      <c r="A868">
        <v>5</v>
      </c>
      <c r="B868" s="6">
        <v>45052</v>
      </c>
      <c r="C868" s="5" t="s">
        <v>890</v>
      </c>
      <c r="D868" s="5" t="s">
        <v>2</v>
      </c>
      <c r="E868">
        <v>30</v>
      </c>
      <c r="F868" s="5" t="s">
        <v>717</v>
      </c>
      <c r="G868">
        <v>2</v>
      </c>
      <c r="H868">
        <v>50</v>
      </c>
      <c r="I868">
        <v>100</v>
      </c>
      <c r="J868" t="s">
        <v>20</v>
      </c>
      <c r="K868" t="s">
        <v>1028</v>
      </c>
      <c r="L868" t="s">
        <v>1038</v>
      </c>
      <c r="M868" t="s">
        <v>1041</v>
      </c>
      <c r="N868">
        <v>5</v>
      </c>
      <c r="O868" t="s">
        <v>1032</v>
      </c>
    </row>
    <row r="869" spans="1:15" x14ac:dyDescent="0.25">
      <c r="A869">
        <v>25</v>
      </c>
      <c r="B869" s="6">
        <v>45286</v>
      </c>
      <c r="C869" s="5" t="s">
        <v>891</v>
      </c>
      <c r="D869" s="5" t="s">
        <v>1</v>
      </c>
      <c r="E869">
        <v>64</v>
      </c>
      <c r="F869" s="5" t="s">
        <v>717</v>
      </c>
      <c r="G869">
        <v>1</v>
      </c>
      <c r="H869">
        <v>50</v>
      </c>
      <c r="I869">
        <v>50</v>
      </c>
      <c r="J869" t="s">
        <v>24</v>
      </c>
      <c r="K869" t="s">
        <v>1030</v>
      </c>
      <c r="L869" t="s">
        <v>1038</v>
      </c>
      <c r="M869" t="s">
        <v>1047</v>
      </c>
      <c r="N869">
        <v>12</v>
      </c>
      <c r="O869" t="s">
        <v>1052</v>
      </c>
    </row>
    <row r="870" spans="1:15" x14ac:dyDescent="0.25">
      <c r="A870">
        <v>38</v>
      </c>
      <c r="B870" s="6">
        <v>45006</v>
      </c>
      <c r="C870" s="5" t="s">
        <v>892</v>
      </c>
      <c r="D870" s="5" t="s">
        <v>2</v>
      </c>
      <c r="E870">
        <v>38</v>
      </c>
      <c r="F870" s="5" t="s">
        <v>717</v>
      </c>
      <c r="G870">
        <v>4</v>
      </c>
      <c r="H870">
        <v>50</v>
      </c>
      <c r="I870">
        <v>200</v>
      </c>
      <c r="J870" t="s">
        <v>20</v>
      </c>
      <c r="K870" t="s">
        <v>1028</v>
      </c>
      <c r="L870" t="s">
        <v>1038</v>
      </c>
      <c r="M870" t="s">
        <v>1039</v>
      </c>
      <c r="N870">
        <v>3</v>
      </c>
      <c r="O870" t="s">
        <v>1040</v>
      </c>
    </row>
    <row r="871" spans="1:15" x14ac:dyDescent="0.25">
      <c r="A871">
        <v>40</v>
      </c>
      <c r="B871" s="6">
        <v>45099</v>
      </c>
      <c r="C871" s="5" t="s">
        <v>893</v>
      </c>
      <c r="D871" s="5" t="s">
        <v>2</v>
      </c>
      <c r="E871">
        <v>45</v>
      </c>
      <c r="F871" s="5" t="s">
        <v>717</v>
      </c>
      <c r="G871">
        <v>1</v>
      </c>
      <c r="H871">
        <v>50</v>
      </c>
      <c r="I871">
        <v>50</v>
      </c>
      <c r="J871" t="s">
        <v>20</v>
      </c>
      <c r="K871" t="s">
        <v>1028</v>
      </c>
      <c r="L871" t="s">
        <v>1038</v>
      </c>
      <c r="M871" t="s">
        <v>1041</v>
      </c>
      <c r="N871">
        <v>6</v>
      </c>
      <c r="O871" t="s">
        <v>1050</v>
      </c>
    </row>
    <row r="872" spans="1:15" x14ac:dyDescent="0.25">
      <c r="A872">
        <v>60</v>
      </c>
      <c r="B872" s="6">
        <v>45222</v>
      </c>
      <c r="C872" s="5" t="s">
        <v>894</v>
      </c>
      <c r="D872" s="5" t="s">
        <v>2</v>
      </c>
      <c r="E872">
        <v>30</v>
      </c>
      <c r="F872" s="5" t="s">
        <v>717</v>
      </c>
      <c r="G872">
        <v>3</v>
      </c>
      <c r="H872">
        <v>50</v>
      </c>
      <c r="I872">
        <v>150</v>
      </c>
      <c r="J872" t="s">
        <v>20</v>
      </c>
      <c r="K872" t="s">
        <v>1028</v>
      </c>
      <c r="L872" t="s">
        <v>1038</v>
      </c>
      <c r="M872" t="s">
        <v>1047</v>
      </c>
      <c r="N872">
        <v>10</v>
      </c>
      <c r="O872" t="s">
        <v>1049</v>
      </c>
    </row>
    <row r="873" spans="1:15" x14ac:dyDescent="0.25">
      <c r="A873">
        <v>61</v>
      </c>
      <c r="B873" s="6">
        <v>45025</v>
      </c>
      <c r="C873" s="5" t="s">
        <v>895</v>
      </c>
      <c r="D873" s="5" t="s">
        <v>2</v>
      </c>
      <c r="E873">
        <v>21</v>
      </c>
      <c r="F873" s="5" t="s">
        <v>717</v>
      </c>
      <c r="G873">
        <v>4</v>
      </c>
      <c r="H873">
        <v>50</v>
      </c>
      <c r="I873">
        <v>200</v>
      </c>
      <c r="J873" t="s">
        <v>22</v>
      </c>
      <c r="K873" t="s">
        <v>1029</v>
      </c>
      <c r="L873" t="s">
        <v>1038</v>
      </c>
      <c r="M873" t="s">
        <v>1041</v>
      </c>
      <c r="N873">
        <v>4</v>
      </c>
      <c r="O873" t="s">
        <v>1042</v>
      </c>
    </row>
    <row r="874" spans="1:15" x14ac:dyDescent="0.25">
      <c r="A874">
        <v>62</v>
      </c>
      <c r="B874" s="6">
        <v>45287</v>
      </c>
      <c r="C874" s="5" t="s">
        <v>896</v>
      </c>
      <c r="D874" s="5" t="s">
        <v>2</v>
      </c>
      <c r="E874">
        <v>18</v>
      </c>
      <c r="F874" s="5" t="s">
        <v>717</v>
      </c>
      <c r="G874">
        <v>2</v>
      </c>
      <c r="H874">
        <v>50</v>
      </c>
      <c r="I874">
        <v>100</v>
      </c>
      <c r="J874" t="s">
        <v>22</v>
      </c>
      <c r="K874" t="s">
        <v>1029</v>
      </c>
      <c r="L874" t="s">
        <v>1038</v>
      </c>
      <c r="M874" t="s">
        <v>1047</v>
      </c>
      <c r="N874">
        <v>12</v>
      </c>
      <c r="O874" t="s">
        <v>1052</v>
      </c>
    </row>
    <row r="875" spans="1:15" x14ac:dyDescent="0.25">
      <c r="A875">
        <v>75</v>
      </c>
      <c r="B875" s="6">
        <v>45113</v>
      </c>
      <c r="C875" s="5" t="s">
        <v>897</v>
      </c>
      <c r="D875" s="5" t="s">
        <v>2</v>
      </c>
      <c r="E875">
        <v>61</v>
      </c>
      <c r="F875" s="5" t="s">
        <v>717</v>
      </c>
      <c r="G875">
        <v>4</v>
      </c>
      <c r="H875">
        <v>50</v>
      </c>
      <c r="I875">
        <v>200</v>
      </c>
      <c r="J875" t="s">
        <v>24</v>
      </c>
      <c r="K875" t="s">
        <v>1030</v>
      </c>
      <c r="L875" t="s">
        <v>1038</v>
      </c>
      <c r="M875" t="s">
        <v>1033</v>
      </c>
      <c r="N875">
        <v>7</v>
      </c>
      <c r="O875" t="s">
        <v>1046</v>
      </c>
    </row>
    <row r="876" spans="1:15" x14ac:dyDescent="0.25">
      <c r="A876">
        <v>82</v>
      </c>
      <c r="B876" s="6">
        <v>45286</v>
      </c>
      <c r="C876" s="5" t="s">
        <v>898</v>
      </c>
      <c r="D876" s="5" t="s">
        <v>1</v>
      </c>
      <c r="E876">
        <v>32</v>
      </c>
      <c r="F876" s="5" t="s">
        <v>717</v>
      </c>
      <c r="G876">
        <v>4</v>
      </c>
      <c r="H876">
        <v>50</v>
      </c>
      <c r="I876">
        <v>200</v>
      </c>
      <c r="J876" t="s">
        <v>20</v>
      </c>
      <c r="K876" t="s">
        <v>1028</v>
      </c>
      <c r="L876" t="s">
        <v>1038</v>
      </c>
      <c r="M876" t="s">
        <v>1047</v>
      </c>
      <c r="N876">
        <v>12</v>
      </c>
      <c r="O876" t="s">
        <v>1052</v>
      </c>
    </row>
    <row r="877" spans="1:15" x14ac:dyDescent="0.25">
      <c r="A877">
        <v>87</v>
      </c>
      <c r="B877" s="6">
        <v>45252</v>
      </c>
      <c r="C877" s="5" t="s">
        <v>899</v>
      </c>
      <c r="D877" s="5" t="s">
        <v>1</v>
      </c>
      <c r="E877">
        <v>28</v>
      </c>
      <c r="F877" s="5" t="s">
        <v>717</v>
      </c>
      <c r="G877">
        <v>2</v>
      </c>
      <c r="H877">
        <v>50</v>
      </c>
      <c r="I877">
        <v>100</v>
      </c>
      <c r="J877" t="s">
        <v>22</v>
      </c>
      <c r="K877" t="s">
        <v>1029</v>
      </c>
      <c r="L877" t="s">
        <v>1038</v>
      </c>
      <c r="M877" t="s">
        <v>1047</v>
      </c>
      <c r="N877">
        <v>11</v>
      </c>
      <c r="O877" t="s">
        <v>1048</v>
      </c>
    </row>
    <row r="878" spans="1:15" x14ac:dyDescent="0.25">
      <c r="A878">
        <v>98</v>
      </c>
      <c r="B878" s="6">
        <v>45039</v>
      </c>
      <c r="C878" s="5" t="s">
        <v>900</v>
      </c>
      <c r="D878" s="5" t="s">
        <v>1</v>
      </c>
      <c r="E878">
        <v>55</v>
      </c>
      <c r="F878" s="5" t="s">
        <v>717</v>
      </c>
      <c r="G878">
        <v>2</v>
      </c>
      <c r="H878">
        <v>50</v>
      </c>
      <c r="I878">
        <v>100</v>
      </c>
      <c r="J878" t="s">
        <v>20</v>
      </c>
      <c r="K878" t="s">
        <v>1028</v>
      </c>
      <c r="L878" t="s">
        <v>1038</v>
      </c>
      <c r="M878" t="s">
        <v>1041</v>
      </c>
      <c r="N878">
        <v>4</v>
      </c>
      <c r="O878" t="s">
        <v>1042</v>
      </c>
    </row>
    <row r="879" spans="1:15" x14ac:dyDescent="0.25">
      <c r="A879">
        <v>120</v>
      </c>
      <c r="B879" s="6">
        <v>45053</v>
      </c>
      <c r="C879" s="5" t="s">
        <v>901</v>
      </c>
      <c r="D879" s="5" t="s">
        <v>2</v>
      </c>
      <c r="E879">
        <v>60</v>
      </c>
      <c r="F879" s="5" t="s">
        <v>717</v>
      </c>
      <c r="G879">
        <v>1</v>
      </c>
      <c r="H879">
        <v>50</v>
      </c>
      <c r="I879">
        <v>50</v>
      </c>
      <c r="J879" t="s">
        <v>24</v>
      </c>
      <c r="K879" t="s">
        <v>1030</v>
      </c>
      <c r="L879" t="s">
        <v>1038</v>
      </c>
      <c r="M879" t="s">
        <v>1041</v>
      </c>
      <c r="N879">
        <v>5</v>
      </c>
      <c r="O879" t="s">
        <v>1032</v>
      </c>
    </row>
    <row r="880" spans="1:15" x14ac:dyDescent="0.25">
      <c r="A880">
        <v>176</v>
      </c>
      <c r="B880" s="6">
        <v>45118</v>
      </c>
      <c r="C880" s="5" t="s">
        <v>902</v>
      </c>
      <c r="D880" s="5" t="s">
        <v>1</v>
      </c>
      <c r="E880">
        <v>43</v>
      </c>
      <c r="F880" s="5" t="s">
        <v>717</v>
      </c>
      <c r="G880">
        <v>2</v>
      </c>
      <c r="H880">
        <v>50</v>
      </c>
      <c r="I880">
        <v>100</v>
      </c>
      <c r="J880" t="s">
        <v>20</v>
      </c>
      <c r="K880" t="s">
        <v>1028</v>
      </c>
      <c r="L880" t="s">
        <v>1038</v>
      </c>
      <c r="M880" t="s">
        <v>1033</v>
      </c>
      <c r="N880">
        <v>7</v>
      </c>
      <c r="O880" t="s">
        <v>1046</v>
      </c>
    </row>
    <row r="881" spans="1:15" x14ac:dyDescent="0.25">
      <c r="A881">
        <v>177</v>
      </c>
      <c r="B881" s="6">
        <v>45009</v>
      </c>
      <c r="C881" s="5" t="s">
        <v>903</v>
      </c>
      <c r="D881" s="5" t="s">
        <v>2</v>
      </c>
      <c r="E881">
        <v>45</v>
      </c>
      <c r="F881" s="5" t="s">
        <v>717</v>
      </c>
      <c r="G881">
        <v>2</v>
      </c>
      <c r="H881">
        <v>50</v>
      </c>
      <c r="I881">
        <v>100</v>
      </c>
      <c r="J881" t="s">
        <v>20</v>
      </c>
      <c r="K881" t="s">
        <v>1028</v>
      </c>
      <c r="L881" t="s">
        <v>1038</v>
      </c>
      <c r="M881" t="s">
        <v>1039</v>
      </c>
      <c r="N881">
        <v>3</v>
      </c>
      <c r="O881" t="s">
        <v>1040</v>
      </c>
    </row>
    <row r="882" spans="1:15" x14ac:dyDescent="0.25">
      <c r="A882">
        <v>189</v>
      </c>
      <c r="B882" s="6">
        <v>44956</v>
      </c>
      <c r="C882" s="5" t="s">
        <v>904</v>
      </c>
      <c r="D882" s="5" t="s">
        <v>2</v>
      </c>
      <c r="E882">
        <v>63</v>
      </c>
      <c r="F882" s="5" t="s">
        <v>717</v>
      </c>
      <c r="G882">
        <v>1</v>
      </c>
      <c r="H882">
        <v>50</v>
      </c>
      <c r="I882">
        <v>50</v>
      </c>
      <c r="J882" t="s">
        <v>24</v>
      </c>
      <c r="K882" t="s">
        <v>1030</v>
      </c>
      <c r="L882" t="s">
        <v>1038</v>
      </c>
      <c r="M882" t="s">
        <v>1039</v>
      </c>
      <c r="N882">
        <v>1</v>
      </c>
      <c r="O882" t="s">
        <v>1045</v>
      </c>
    </row>
    <row r="883" spans="1:15" x14ac:dyDescent="0.25">
      <c r="A883">
        <v>192</v>
      </c>
      <c r="B883" s="6">
        <v>44967</v>
      </c>
      <c r="C883" s="5" t="s">
        <v>905</v>
      </c>
      <c r="D883" s="5" t="s">
        <v>2</v>
      </c>
      <c r="E883">
        <v>62</v>
      </c>
      <c r="F883" s="5" t="s">
        <v>717</v>
      </c>
      <c r="G883">
        <v>2</v>
      </c>
      <c r="H883">
        <v>50</v>
      </c>
      <c r="I883">
        <v>100</v>
      </c>
      <c r="J883" t="s">
        <v>24</v>
      </c>
      <c r="K883" t="s">
        <v>1030</v>
      </c>
      <c r="L883" t="s">
        <v>1038</v>
      </c>
      <c r="M883" t="s">
        <v>1039</v>
      </c>
      <c r="N883">
        <v>2</v>
      </c>
      <c r="O883" t="s">
        <v>1044</v>
      </c>
    </row>
    <row r="884" spans="1:15" x14ac:dyDescent="0.25">
      <c r="A884">
        <v>200</v>
      </c>
      <c r="B884" s="6">
        <v>45170</v>
      </c>
      <c r="C884" s="5" t="s">
        <v>906</v>
      </c>
      <c r="D884" s="5" t="s">
        <v>2</v>
      </c>
      <c r="E884">
        <v>27</v>
      </c>
      <c r="F884" s="5" t="s">
        <v>717</v>
      </c>
      <c r="G884">
        <v>3</v>
      </c>
      <c r="H884">
        <v>50</v>
      </c>
      <c r="I884">
        <v>150</v>
      </c>
      <c r="J884" t="s">
        <v>22</v>
      </c>
      <c r="K884" t="s">
        <v>1029</v>
      </c>
      <c r="L884" t="s">
        <v>1038</v>
      </c>
      <c r="M884" t="s">
        <v>1033</v>
      </c>
      <c r="N884">
        <v>9</v>
      </c>
      <c r="O884" t="s">
        <v>1043</v>
      </c>
    </row>
    <row r="885" spans="1:15" x14ac:dyDescent="0.25">
      <c r="A885">
        <v>244</v>
      </c>
      <c r="B885" s="6">
        <v>45269</v>
      </c>
      <c r="C885" s="5" t="s">
        <v>907</v>
      </c>
      <c r="D885" s="5" t="s">
        <v>2</v>
      </c>
      <c r="E885">
        <v>28</v>
      </c>
      <c r="F885" s="5" t="s">
        <v>717</v>
      </c>
      <c r="G885">
        <v>2</v>
      </c>
      <c r="H885">
        <v>50</v>
      </c>
      <c r="I885">
        <v>100</v>
      </c>
      <c r="J885" t="s">
        <v>22</v>
      </c>
      <c r="K885" t="s">
        <v>1029</v>
      </c>
      <c r="L885" t="s">
        <v>1038</v>
      </c>
      <c r="M885" t="s">
        <v>1047</v>
      </c>
      <c r="N885">
        <v>12</v>
      </c>
      <c r="O885" t="s">
        <v>1052</v>
      </c>
    </row>
    <row r="886" spans="1:15" x14ac:dyDescent="0.25">
      <c r="A886">
        <v>251</v>
      </c>
      <c r="B886" s="6">
        <v>45169</v>
      </c>
      <c r="C886" s="5" t="s">
        <v>908</v>
      </c>
      <c r="D886" s="5" t="s">
        <v>1</v>
      </c>
      <c r="E886">
        <v>57</v>
      </c>
      <c r="F886" s="5" t="s">
        <v>717</v>
      </c>
      <c r="G886">
        <v>4</v>
      </c>
      <c r="H886">
        <v>50</v>
      </c>
      <c r="I886">
        <v>200</v>
      </c>
      <c r="J886" t="s">
        <v>24</v>
      </c>
      <c r="K886" t="s">
        <v>1030</v>
      </c>
      <c r="L886" t="s">
        <v>1038</v>
      </c>
      <c r="M886" t="s">
        <v>1033</v>
      </c>
      <c r="N886">
        <v>8</v>
      </c>
      <c r="O886" t="s">
        <v>1051</v>
      </c>
    </row>
    <row r="887" spans="1:15" x14ac:dyDescent="0.25">
      <c r="A887">
        <v>273</v>
      </c>
      <c r="B887" s="6">
        <v>45054</v>
      </c>
      <c r="C887" s="5" t="s">
        <v>909</v>
      </c>
      <c r="D887" s="5" t="s">
        <v>1</v>
      </c>
      <c r="E887">
        <v>22</v>
      </c>
      <c r="F887" s="5" t="s">
        <v>717</v>
      </c>
      <c r="G887">
        <v>1</v>
      </c>
      <c r="H887">
        <v>50</v>
      </c>
      <c r="I887">
        <v>50</v>
      </c>
      <c r="J887" t="s">
        <v>22</v>
      </c>
      <c r="K887" t="s">
        <v>1029</v>
      </c>
      <c r="L887" t="s">
        <v>1038</v>
      </c>
      <c r="M887" t="s">
        <v>1041</v>
      </c>
      <c r="N887">
        <v>5</v>
      </c>
      <c r="O887" t="s">
        <v>1032</v>
      </c>
    </row>
    <row r="888" spans="1:15" x14ac:dyDescent="0.25">
      <c r="A888">
        <v>328</v>
      </c>
      <c r="B888" s="6">
        <v>45007</v>
      </c>
      <c r="C888" s="5" t="s">
        <v>910</v>
      </c>
      <c r="D888" s="5" t="s">
        <v>2</v>
      </c>
      <c r="E888">
        <v>39</v>
      </c>
      <c r="F888" s="5" t="s">
        <v>717</v>
      </c>
      <c r="G888">
        <v>2</v>
      </c>
      <c r="H888">
        <v>50</v>
      </c>
      <c r="I888">
        <v>100</v>
      </c>
      <c r="J888" t="s">
        <v>20</v>
      </c>
      <c r="K888" t="s">
        <v>1028</v>
      </c>
      <c r="L888" t="s">
        <v>1038</v>
      </c>
      <c r="M888" t="s">
        <v>1039</v>
      </c>
      <c r="N888">
        <v>3</v>
      </c>
      <c r="O888" t="s">
        <v>1040</v>
      </c>
    </row>
    <row r="889" spans="1:15" x14ac:dyDescent="0.25">
      <c r="A889">
        <v>330</v>
      </c>
      <c r="B889" s="6">
        <v>45187</v>
      </c>
      <c r="C889" s="5" t="s">
        <v>911</v>
      </c>
      <c r="D889" s="5" t="s">
        <v>1</v>
      </c>
      <c r="E889">
        <v>25</v>
      </c>
      <c r="F889" s="5" t="s">
        <v>717</v>
      </c>
      <c r="G889">
        <v>4</v>
      </c>
      <c r="H889">
        <v>50</v>
      </c>
      <c r="I889">
        <v>200</v>
      </c>
      <c r="J889" t="s">
        <v>22</v>
      </c>
      <c r="K889" t="s">
        <v>1029</v>
      </c>
      <c r="L889" t="s">
        <v>1038</v>
      </c>
      <c r="M889" t="s">
        <v>1033</v>
      </c>
      <c r="N889">
        <v>9</v>
      </c>
      <c r="O889" t="s">
        <v>1043</v>
      </c>
    </row>
    <row r="890" spans="1:15" x14ac:dyDescent="0.25">
      <c r="A890">
        <v>336</v>
      </c>
      <c r="B890" s="6">
        <v>45272</v>
      </c>
      <c r="C890" s="5" t="s">
        <v>912</v>
      </c>
      <c r="D890" s="5" t="s">
        <v>1</v>
      </c>
      <c r="E890">
        <v>52</v>
      </c>
      <c r="F890" s="5" t="s">
        <v>717</v>
      </c>
      <c r="G890">
        <v>3</v>
      </c>
      <c r="H890">
        <v>50</v>
      </c>
      <c r="I890">
        <v>150</v>
      </c>
      <c r="J890" t="s">
        <v>20</v>
      </c>
      <c r="K890" t="s">
        <v>1028</v>
      </c>
      <c r="L890" t="s">
        <v>1038</v>
      </c>
      <c r="M890" t="s">
        <v>1047</v>
      </c>
      <c r="N890">
        <v>12</v>
      </c>
      <c r="O890" t="s">
        <v>1052</v>
      </c>
    </row>
    <row r="891" spans="1:15" x14ac:dyDescent="0.25">
      <c r="A891">
        <v>338</v>
      </c>
      <c r="B891" s="6">
        <v>45133</v>
      </c>
      <c r="C891" s="5" t="s">
        <v>913</v>
      </c>
      <c r="D891" s="5" t="s">
        <v>2</v>
      </c>
      <c r="E891">
        <v>54</v>
      </c>
      <c r="F891" s="5" t="s">
        <v>717</v>
      </c>
      <c r="G891">
        <v>2</v>
      </c>
      <c r="H891">
        <v>50</v>
      </c>
      <c r="I891">
        <v>100</v>
      </c>
      <c r="J891" t="s">
        <v>20</v>
      </c>
      <c r="K891" t="s">
        <v>1028</v>
      </c>
      <c r="L891" t="s">
        <v>1038</v>
      </c>
      <c r="M891" t="s">
        <v>1033</v>
      </c>
      <c r="N891">
        <v>7</v>
      </c>
      <c r="O891" t="s">
        <v>1046</v>
      </c>
    </row>
    <row r="892" spans="1:15" x14ac:dyDescent="0.25">
      <c r="A892">
        <v>349</v>
      </c>
      <c r="B892" s="6">
        <v>45225</v>
      </c>
      <c r="C892" s="5" t="s">
        <v>914</v>
      </c>
      <c r="D892" s="5" t="s">
        <v>1</v>
      </c>
      <c r="E892">
        <v>57</v>
      </c>
      <c r="F892" s="5" t="s">
        <v>717</v>
      </c>
      <c r="G892">
        <v>1</v>
      </c>
      <c r="H892">
        <v>50</v>
      </c>
      <c r="I892">
        <v>50</v>
      </c>
      <c r="J892" t="s">
        <v>24</v>
      </c>
      <c r="K892" t="s">
        <v>1030</v>
      </c>
      <c r="L892" t="s">
        <v>1038</v>
      </c>
      <c r="M892" t="s">
        <v>1047</v>
      </c>
      <c r="N892">
        <v>10</v>
      </c>
      <c r="O892" t="s">
        <v>1049</v>
      </c>
    </row>
    <row r="893" spans="1:15" x14ac:dyDescent="0.25">
      <c r="A893">
        <v>354</v>
      </c>
      <c r="B893" s="6">
        <v>45031</v>
      </c>
      <c r="C893" s="5" t="s">
        <v>915</v>
      </c>
      <c r="D893" s="5" t="s">
        <v>1</v>
      </c>
      <c r="E893">
        <v>49</v>
      </c>
      <c r="F893" s="5" t="s">
        <v>717</v>
      </c>
      <c r="G893">
        <v>4</v>
      </c>
      <c r="H893">
        <v>50</v>
      </c>
      <c r="I893">
        <v>200</v>
      </c>
      <c r="J893" t="s">
        <v>20</v>
      </c>
      <c r="K893" t="s">
        <v>1028</v>
      </c>
      <c r="L893" t="s">
        <v>1038</v>
      </c>
      <c r="M893" t="s">
        <v>1041</v>
      </c>
      <c r="N893">
        <v>4</v>
      </c>
      <c r="O893" t="s">
        <v>1042</v>
      </c>
    </row>
    <row r="894" spans="1:15" x14ac:dyDescent="0.25">
      <c r="A894">
        <v>433</v>
      </c>
      <c r="B894" s="6">
        <v>44984</v>
      </c>
      <c r="C894" s="5" t="s">
        <v>916</v>
      </c>
      <c r="D894" s="5" t="s">
        <v>2</v>
      </c>
      <c r="E894">
        <v>29</v>
      </c>
      <c r="F894" s="5" t="s">
        <v>717</v>
      </c>
      <c r="G894">
        <v>4</v>
      </c>
      <c r="H894">
        <v>50</v>
      </c>
      <c r="I894">
        <v>200</v>
      </c>
      <c r="J894" t="s">
        <v>22</v>
      </c>
      <c r="K894" t="s">
        <v>1029</v>
      </c>
      <c r="L894" t="s">
        <v>1038</v>
      </c>
      <c r="M894" t="s">
        <v>1039</v>
      </c>
      <c r="N894">
        <v>2</v>
      </c>
      <c r="O894" t="s">
        <v>1044</v>
      </c>
    </row>
    <row r="895" spans="1:15" x14ac:dyDescent="0.25">
      <c r="A895">
        <v>460</v>
      </c>
      <c r="B895" s="6">
        <v>45048</v>
      </c>
      <c r="C895" s="5" t="s">
        <v>917</v>
      </c>
      <c r="D895" s="5" t="s">
        <v>2</v>
      </c>
      <c r="E895">
        <v>40</v>
      </c>
      <c r="F895" s="5" t="s">
        <v>717</v>
      </c>
      <c r="G895">
        <v>1</v>
      </c>
      <c r="H895">
        <v>50</v>
      </c>
      <c r="I895">
        <v>50</v>
      </c>
      <c r="J895" t="s">
        <v>20</v>
      </c>
      <c r="K895" t="s">
        <v>1028</v>
      </c>
      <c r="L895" t="s">
        <v>1038</v>
      </c>
      <c r="M895" t="s">
        <v>1041</v>
      </c>
      <c r="N895">
        <v>5</v>
      </c>
      <c r="O895" t="s">
        <v>1032</v>
      </c>
    </row>
    <row r="896" spans="1:15" x14ac:dyDescent="0.25">
      <c r="A896">
        <v>473</v>
      </c>
      <c r="B896" s="6">
        <v>44982</v>
      </c>
      <c r="C896" s="5" t="s">
        <v>918</v>
      </c>
      <c r="D896" s="5" t="s">
        <v>2</v>
      </c>
      <c r="E896">
        <v>64</v>
      </c>
      <c r="F896" s="5" t="s">
        <v>717</v>
      </c>
      <c r="G896">
        <v>1</v>
      </c>
      <c r="H896">
        <v>50</v>
      </c>
      <c r="I896">
        <v>50</v>
      </c>
      <c r="J896" t="s">
        <v>24</v>
      </c>
      <c r="K896" t="s">
        <v>1030</v>
      </c>
      <c r="L896" t="s">
        <v>1038</v>
      </c>
      <c r="M896" t="s">
        <v>1039</v>
      </c>
      <c r="N896">
        <v>2</v>
      </c>
      <c r="O896" t="s">
        <v>1044</v>
      </c>
    </row>
    <row r="897" spans="1:15" x14ac:dyDescent="0.25">
      <c r="A897">
        <v>494</v>
      </c>
      <c r="B897" s="6">
        <v>45187</v>
      </c>
      <c r="C897" s="5" t="s">
        <v>919</v>
      </c>
      <c r="D897" s="5" t="s">
        <v>1</v>
      </c>
      <c r="E897">
        <v>42</v>
      </c>
      <c r="F897" s="5" t="s">
        <v>717</v>
      </c>
      <c r="G897">
        <v>4</v>
      </c>
      <c r="H897">
        <v>50</v>
      </c>
      <c r="I897">
        <v>200</v>
      </c>
      <c r="J897" t="s">
        <v>20</v>
      </c>
      <c r="K897" t="s">
        <v>1028</v>
      </c>
      <c r="L897" t="s">
        <v>1038</v>
      </c>
      <c r="M897" t="s">
        <v>1033</v>
      </c>
      <c r="N897">
        <v>9</v>
      </c>
      <c r="O897" t="s">
        <v>1043</v>
      </c>
    </row>
    <row r="898" spans="1:15" x14ac:dyDescent="0.25">
      <c r="A898">
        <v>504</v>
      </c>
      <c r="B898" s="6">
        <v>45062</v>
      </c>
      <c r="C898" s="5" t="s">
        <v>920</v>
      </c>
      <c r="D898" s="5" t="s">
        <v>1</v>
      </c>
      <c r="E898">
        <v>38</v>
      </c>
      <c r="F898" s="5" t="s">
        <v>717</v>
      </c>
      <c r="G898">
        <v>3</v>
      </c>
      <c r="H898">
        <v>50</v>
      </c>
      <c r="I898">
        <v>150</v>
      </c>
      <c r="J898" t="s">
        <v>20</v>
      </c>
      <c r="K898" t="s">
        <v>1028</v>
      </c>
      <c r="L898" t="s">
        <v>1038</v>
      </c>
      <c r="M898" t="s">
        <v>1041</v>
      </c>
      <c r="N898">
        <v>5</v>
      </c>
      <c r="O898" t="s">
        <v>1032</v>
      </c>
    </row>
    <row r="899" spans="1:15" x14ac:dyDescent="0.25">
      <c r="A899">
        <v>505</v>
      </c>
      <c r="B899" s="6">
        <v>44946</v>
      </c>
      <c r="C899" s="5" t="s">
        <v>921</v>
      </c>
      <c r="D899" s="5" t="s">
        <v>2</v>
      </c>
      <c r="E899">
        <v>24</v>
      </c>
      <c r="F899" s="5" t="s">
        <v>717</v>
      </c>
      <c r="G899">
        <v>1</v>
      </c>
      <c r="H899">
        <v>50</v>
      </c>
      <c r="I899">
        <v>50</v>
      </c>
      <c r="J899" t="s">
        <v>22</v>
      </c>
      <c r="K899" t="s">
        <v>1029</v>
      </c>
      <c r="L899" t="s">
        <v>1038</v>
      </c>
      <c r="M899" t="s">
        <v>1039</v>
      </c>
      <c r="N899">
        <v>1</v>
      </c>
      <c r="O899" t="s">
        <v>1045</v>
      </c>
    </row>
    <row r="900" spans="1:15" x14ac:dyDescent="0.25">
      <c r="A900">
        <v>510</v>
      </c>
      <c r="B900" s="6">
        <v>45087</v>
      </c>
      <c r="C900" s="5" t="s">
        <v>922</v>
      </c>
      <c r="D900" s="5" t="s">
        <v>1</v>
      </c>
      <c r="E900">
        <v>39</v>
      </c>
      <c r="F900" s="5" t="s">
        <v>717</v>
      </c>
      <c r="G900">
        <v>4</v>
      </c>
      <c r="H900">
        <v>50</v>
      </c>
      <c r="I900">
        <v>200</v>
      </c>
      <c r="J900" t="s">
        <v>20</v>
      </c>
      <c r="K900" t="s">
        <v>1028</v>
      </c>
      <c r="L900" t="s">
        <v>1038</v>
      </c>
      <c r="M900" t="s">
        <v>1041</v>
      </c>
      <c r="N900">
        <v>6</v>
      </c>
      <c r="O900" t="s">
        <v>1050</v>
      </c>
    </row>
    <row r="901" spans="1:15" x14ac:dyDescent="0.25">
      <c r="A901">
        <v>511</v>
      </c>
      <c r="B901" s="6">
        <v>45150</v>
      </c>
      <c r="C901" s="5" t="s">
        <v>923</v>
      </c>
      <c r="D901" s="5" t="s">
        <v>2</v>
      </c>
      <c r="E901">
        <v>45</v>
      </c>
      <c r="F901" s="5" t="s">
        <v>717</v>
      </c>
      <c r="G901">
        <v>2</v>
      </c>
      <c r="H901">
        <v>50</v>
      </c>
      <c r="I901">
        <v>100</v>
      </c>
      <c r="J901" t="s">
        <v>20</v>
      </c>
      <c r="K901" t="s">
        <v>1028</v>
      </c>
      <c r="L901" t="s">
        <v>1038</v>
      </c>
      <c r="M901" t="s">
        <v>1033</v>
      </c>
      <c r="N901">
        <v>8</v>
      </c>
      <c r="O901" t="s">
        <v>1051</v>
      </c>
    </row>
    <row r="902" spans="1:15" x14ac:dyDescent="0.25">
      <c r="A902">
        <v>542</v>
      </c>
      <c r="B902" s="6">
        <v>45094</v>
      </c>
      <c r="C902" s="5" t="s">
        <v>924</v>
      </c>
      <c r="D902" s="5" t="s">
        <v>1</v>
      </c>
      <c r="E902">
        <v>20</v>
      </c>
      <c r="F902" s="5" t="s">
        <v>717</v>
      </c>
      <c r="G902">
        <v>1</v>
      </c>
      <c r="H902">
        <v>50</v>
      </c>
      <c r="I902">
        <v>50</v>
      </c>
      <c r="J902" t="s">
        <v>22</v>
      </c>
      <c r="K902" t="s">
        <v>1029</v>
      </c>
      <c r="L902" t="s">
        <v>1038</v>
      </c>
      <c r="M902" t="s">
        <v>1041</v>
      </c>
      <c r="N902">
        <v>6</v>
      </c>
      <c r="O902" t="s">
        <v>1050</v>
      </c>
    </row>
    <row r="903" spans="1:15" x14ac:dyDescent="0.25">
      <c r="A903">
        <v>549</v>
      </c>
      <c r="B903" s="6">
        <v>45142</v>
      </c>
      <c r="C903" s="5" t="s">
        <v>925</v>
      </c>
      <c r="D903" s="5" t="s">
        <v>1</v>
      </c>
      <c r="E903">
        <v>50</v>
      </c>
      <c r="F903" s="5" t="s">
        <v>717</v>
      </c>
      <c r="G903">
        <v>2</v>
      </c>
      <c r="H903">
        <v>50</v>
      </c>
      <c r="I903">
        <v>100</v>
      </c>
      <c r="J903" t="s">
        <v>20</v>
      </c>
      <c r="K903" t="s">
        <v>1028</v>
      </c>
      <c r="L903" t="s">
        <v>1038</v>
      </c>
      <c r="M903" t="s">
        <v>1033</v>
      </c>
      <c r="N903">
        <v>8</v>
      </c>
      <c r="O903" t="s">
        <v>1051</v>
      </c>
    </row>
    <row r="904" spans="1:15" x14ac:dyDescent="0.25">
      <c r="A904">
        <v>554</v>
      </c>
      <c r="B904" s="6">
        <v>45242</v>
      </c>
      <c r="C904" s="5" t="s">
        <v>926</v>
      </c>
      <c r="D904" s="5" t="s">
        <v>1</v>
      </c>
      <c r="E904">
        <v>46</v>
      </c>
      <c r="F904" s="5" t="s">
        <v>717</v>
      </c>
      <c r="G904">
        <v>3</v>
      </c>
      <c r="H904">
        <v>50</v>
      </c>
      <c r="I904">
        <v>150</v>
      </c>
      <c r="J904" t="s">
        <v>20</v>
      </c>
      <c r="K904" t="s">
        <v>1028</v>
      </c>
      <c r="L904" t="s">
        <v>1038</v>
      </c>
      <c r="M904" t="s">
        <v>1047</v>
      </c>
      <c r="N904">
        <v>11</v>
      </c>
      <c r="O904" t="s">
        <v>1048</v>
      </c>
    </row>
    <row r="905" spans="1:15" x14ac:dyDescent="0.25">
      <c r="A905">
        <v>576</v>
      </c>
      <c r="B905" s="6">
        <v>45264</v>
      </c>
      <c r="C905" s="5" t="s">
        <v>927</v>
      </c>
      <c r="D905" s="5" t="s">
        <v>1</v>
      </c>
      <c r="E905">
        <v>33</v>
      </c>
      <c r="F905" s="5" t="s">
        <v>717</v>
      </c>
      <c r="G905">
        <v>3</v>
      </c>
      <c r="H905">
        <v>50</v>
      </c>
      <c r="I905">
        <v>150</v>
      </c>
      <c r="J905" t="s">
        <v>20</v>
      </c>
      <c r="K905" t="s">
        <v>1028</v>
      </c>
      <c r="L905" t="s">
        <v>1038</v>
      </c>
      <c r="M905" t="s">
        <v>1047</v>
      </c>
      <c r="N905">
        <v>12</v>
      </c>
      <c r="O905" t="s">
        <v>1052</v>
      </c>
    </row>
    <row r="906" spans="1:15" x14ac:dyDescent="0.25">
      <c r="A906">
        <v>584</v>
      </c>
      <c r="B906" s="6">
        <v>44974</v>
      </c>
      <c r="C906" s="5" t="s">
        <v>928</v>
      </c>
      <c r="D906" s="5" t="s">
        <v>1</v>
      </c>
      <c r="E906">
        <v>27</v>
      </c>
      <c r="F906" s="5" t="s">
        <v>717</v>
      </c>
      <c r="G906">
        <v>4</v>
      </c>
      <c r="H906">
        <v>50</v>
      </c>
      <c r="I906">
        <v>200</v>
      </c>
      <c r="J906" t="s">
        <v>22</v>
      </c>
      <c r="K906" t="s">
        <v>1029</v>
      </c>
      <c r="L906" t="s">
        <v>1038</v>
      </c>
      <c r="M906" t="s">
        <v>1039</v>
      </c>
      <c r="N906">
        <v>2</v>
      </c>
      <c r="O906" t="s">
        <v>1044</v>
      </c>
    </row>
    <row r="907" spans="1:15" x14ac:dyDescent="0.25">
      <c r="A907">
        <v>599</v>
      </c>
      <c r="B907" s="6">
        <v>45249</v>
      </c>
      <c r="C907" s="5" t="s">
        <v>929</v>
      </c>
      <c r="D907" s="5" t="s">
        <v>1</v>
      </c>
      <c r="E907">
        <v>28</v>
      </c>
      <c r="F907" s="5" t="s">
        <v>717</v>
      </c>
      <c r="G907">
        <v>2</v>
      </c>
      <c r="H907">
        <v>50</v>
      </c>
      <c r="I907">
        <v>100</v>
      </c>
      <c r="J907" t="s">
        <v>22</v>
      </c>
      <c r="K907" t="s">
        <v>1029</v>
      </c>
      <c r="L907" t="s">
        <v>1038</v>
      </c>
      <c r="M907" t="s">
        <v>1047</v>
      </c>
      <c r="N907">
        <v>11</v>
      </c>
      <c r="O907" t="s">
        <v>1048</v>
      </c>
    </row>
    <row r="908" spans="1:15" x14ac:dyDescent="0.25">
      <c r="A908">
        <v>618</v>
      </c>
      <c r="B908" s="6">
        <v>44952</v>
      </c>
      <c r="C908" s="5" t="s">
        <v>930</v>
      </c>
      <c r="D908" s="5" t="s">
        <v>1</v>
      </c>
      <c r="E908">
        <v>27</v>
      </c>
      <c r="F908" s="5" t="s">
        <v>717</v>
      </c>
      <c r="G908">
        <v>1</v>
      </c>
      <c r="H908">
        <v>50</v>
      </c>
      <c r="I908">
        <v>50</v>
      </c>
      <c r="J908" t="s">
        <v>22</v>
      </c>
      <c r="K908" t="s">
        <v>1029</v>
      </c>
      <c r="L908" t="s">
        <v>1038</v>
      </c>
      <c r="M908" t="s">
        <v>1039</v>
      </c>
      <c r="N908">
        <v>1</v>
      </c>
      <c r="O908" t="s">
        <v>1045</v>
      </c>
    </row>
    <row r="909" spans="1:15" x14ac:dyDescent="0.25">
      <c r="A909">
        <v>628</v>
      </c>
      <c r="B909" s="6">
        <v>45231</v>
      </c>
      <c r="C909" s="5" t="s">
        <v>931</v>
      </c>
      <c r="D909" s="5" t="s">
        <v>1</v>
      </c>
      <c r="E909">
        <v>19</v>
      </c>
      <c r="F909" s="5" t="s">
        <v>717</v>
      </c>
      <c r="G909">
        <v>4</v>
      </c>
      <c r="H909">
        <v>50</v>
      </c>
      <c r="I909">
        <v>200</v>
      </c>
      <c r="J909" t="s">
        <v>22</v>
      </c>
      <c r="K909" t="s">
        <v>1029</v>
      </c>
      <c r="L909" t="s">
        <v>1038</v>
      </c>
      <c r="M909" t="s">
        <v>1047</v>
      </c>
      <c r="N909">
        <v>11</v>
      </c>
      <c r="O909" t="s">
        <v>1048</v>
      </c>
    </row>
    <row r="910" spans="1:15" x14ac:dyDescent="0.25">
      <c r="A910">
        <v>639</v>
      </c>
      <c r="B910" s="6">
        <v>45059</v>
      </c>
      <c r="C910" s="5" t="s">
        <v>932</v>
      </c>
      <c r="D910" s="5" t="s">
        <v>1</v>
      </c>
      <c r="E910">
        <v>62</v>
      </c>
      <c r="F910" s="5" t="s">
        <v>717</v>
      </c>
      <c r="G910">
        <v>4</v>
      </c>
      <c r="H910">
        <v>50</v>
      </c>
      <c r="I910">
        <v>200</v>
      </c>
      <c r="J910" t="s">
        <v>24</v>
      </c>
      <c r="K910" t="s">
        <v>1030</v>
      </c>
      <c r="L910" t="s">
        <v>1038</v>
      </c>
      <c r="M910" t="s">
        <v>1041</v>
      </c>
      <c r="N910">
        <v>5</v>
      </c>
      <c r="O910" t="s">
        <v>1032</v>
      </c>
    </row>
    <row r="911" spans="1:15" x14ac:dyDescent="0.25">
      <c r="A911">
        <v>652</v>
      </c>
      <c r="B911" s="6">
        <v>45047</v>
      </c>
      <c r="C911" s="5" t="s">
        <v>933</v>
      </c>
      <c r="D911" s="5" t="s">
        <v>1</v>
      </c>
      <c r="E911">
        <v>34</v>
      </c>
      <c r="F911" s="5" t="s">
        <v>717</v>
      </c>
      <c r="G911">
        <v>2</v>
      </c>
      <c r="H911">
        <v>50</v>
      </c>
      <c r="I911">
        <v>100</v>
      </c>
      <c r="J911" t="s">
        <v>20</v>
      </c>
      <c r="K911" t="s">
        <v>1028</v>
      </c>
      <c r="L911" t="s">
        <v>1038</v>
      </c>
      <c r="M911" t="s">
        <v>1041</v>
      </c>
      <c r="N911">
        <v>5</v>
      </c>
      <c r="O911" t="s">
        <v>1032</v>
      </c>
    </row>
    <row r="912" spans="1:15" x14ac:dyDescent="0.25">
      <c r="A912">
        <v>672</v>
      </c>
      <c r="B912" s="6">
        <v>45139</v>
      </c>
      <c r="C912" s="5" t="s">
        <v>934</v>
      </c>
      <c r="D912" s="5" t="s">
        <v>1</v>
      </c>
      <c r="E912">
        <v>34</v>
      </c>
      <c r="F912" s="5" t="s">
        <v>717</v>
      </c>
      <c r="G912">
        <v>2</v>
      </c>
      <c r="H912">
        <v>50</v>
      </c>
      <c r="I912">
        <v>100</v>
      </c>
      <c r="J912" t="s">
        <v>20</v>
      </c>
      <c r="K912" t="s">
        <v>1028</v>
      </c>
      <c r="L912" t="s">
        <v>1038</v>
      </c>
      <c r="M912" t="s">
        <v>1033</v>
      </c>
      <c r="N912">
        <v>8</v>
      </c>
      <c r="O912" t="s">
        <v>1051</v>
      </c>
    </row>
    <row r="913" spans="1:15" x14ac:dyDescent="0.25">
      <c r="A913">
        <v>723</v>
      </c>
      <c r="B913" s="6">
        <v>45094</v>
      </c>
      <c r="C913" s="5" t="s">
        <v>935</v>
      </c>
      <c r="D913" s="5" t="s">
        <v>1</v>
      </c>
      <c r="E913">
        <v>54</v>
      </c>
      <c r="F913" s="5" t="s">
        <v>717</v>
      </c>
      <c r="G913">
        <v>4</v>
      </c>
      <c r="H913">
        <v>50</v>
      </c>
      <c r="I913">
        <v>200</v>
      </c>
      <c r="J913" t="s">
        <v>20</v>
      </c>
      <c r="K913" t="s">
        <v>1028</v>
      </c>
      <c r="L913" t="s">
        <v>1038</v>
      </c>
      <c r="M913" t="s">
        <v>1041</v>
      </c>
      <c r="N913">
        <v>6</v>
      </c>
      <c r="O913" t="s">
        <v>1050</v>
      </c>
    </row>
    <row r="914" spans="1:15" x14ac:dyDescent="0.25">
      <c r="A914">
        <v>740</v>
      </c>
      <c r="B914" s="6">
        <v>44962</v>
      </c>
      <c r="C914" s="5" t="s">
        <v>936</v>
      </c>
      <c r="D914" s="5" t="s">
        <v>1</v>
      </c>
      <c r="E914">
        <v>25</v>
      </c>
      <c r="F914" s="5" t="s">
        <v>717</v>
      </c>
      <c r="G914">
        <v>4</v>
      </c>
      <c r="H914">
        <v>50</v>
      </c>
      <c r="I914">
        <v>200</v>
      </c>
      <c r="J914" t="s">
        <v>22</v>
      </c>
      <c r="K914" t="s">
        <v>1029</v>
      </c>
      <c r="L914" t="s">
        <v>1038</v>
      </c>
      <c r="M914" t="s">
        <v>1039</v>
      </c>
      <c r="N914">
        <v>2</v>
      </c>
      <c r="O914" t="s">
        <v>1044</v>
      </c>
    </row>
    <row r="915" spans="1:15" x14ac:dyDescent="0.25">
      <c r="A915">
        <v>745</v>
      </c>
      <c r="B915" s="6">
        <v>45029</v>
      </c>
      <c r="C915" s="5" t="s">
        <v>937</v>
      </c>
      <c r="D915" s="5" t="s">
        <v>2</v>
      </c>
      <c r="E915">
        <v>54</v>
      </c>
      <c r="F915" s="5" t="s">
        <v>717</v>
      </c>
      <c r="G915">
        <v>2</v>
      </c>
      <c r="H915">
        <v>50</v>
      </c>
      <c r="I915">
        <v>100</v>
      </c>
      <c r="J915" t="s">
        <v>20</v>
      </c>
      <c r="K915" t="s">
        <v>1028</v>
      </c>
      <c r="L915" t="s">
        <v>1038</v>
      </c>
      <c r="M915" t="s">
        <v>1041</v>
      </c>
      <c r="N915">
        <v>4</v>
      </c>
      <c r="O915" t="s">
        <v>1042</v>
      </c>
    </row>
    <row r="916" spans="1:15" x14ac:dyDescent="0.25">
      <c r="A916">
        <v>785</v>
      </c>
      <c r="B916" s="6">
        <v>44988</v>
      </c>
      <c r="C916" s="5" t="s">
        <v>938</v>
      </c>
      <c r="D916" s="5" t="s">
        <v>1</v>
      </c>
      <c r="E916">
        <v>31</v>
      </c>
      <c r="F916" s="5" t="s">
        <v>717</v>
      </c>
      <c r="G916">
        <v>4</v>
      </c>
      <c r="H916">
        <v>50</v>
      </c>
      <c r="I916">
        <v>200</v>
      </c>
      <c r="J916" t="s">
        <v>20</v>
      </c>
      <c r="K916" t="s">
        <v>1028</v>
      </c>
      <c r="L916" t="s">
        <v>1038</v>
      </c>
      <c r="M916" t="s">
        <v>1039</v>
      </c>
      <c r="N916">
        <v>3</v>
      </c>
      <c r="O916" t="s">
        <v>1040</v>
      </c>
    </row>
    <row r="917" spans="1:15" x14ac:dyDescent="0.25">
      <c r="A917">
        <v>792</v>
      </c>
      <c r="B917" s="6">
        <v>45116</v>
      </c>
      <c r="C917" s="5" t="s">
        <v>939</v>
      </c>
      <c r="D917" s="5" t="s">
        <v>1</v>
      </c>
      <c r="E917">
        <v>20</v>
      </c>
      <c r="F917" s="5" t="s">
        <v>717</v>
      </c>
      <c r="G917">
        <v>1</v>
      </c>
      <c r="H917">
        <v>50</v>
      </c>
      <c r="I917">
        <v>50</v>
      </c>
      <c r="J917" t="s">
        <v>22</v>
      </c>
      <c r="K917" t="s">
        <v>1029</v>
      </c>
      <c r="L917" t="s">
        <v>1038</v>
      </c>
      <c r="M917" t="s">
        <v>1033</v>
      </c>
      <c r="N917">
        <v>7</v>
      </c>
      <c r="O917" t="s">
        <v>1046</v>
      </c>
    </row>
    <row r="918" spans="1:15" x14ac:dyDescent="0.25">
      <c r="A918">
        <v>809</v>
      </c>
      <c r="B918" s="6">
        <v>45194</v>
      </c>
      <c r="C918" s="5" t="s">
        <v>940</v>
      </c>
      <c r="D918" s="5" t="s">
        <v>1</v>
      </c>
      <c r="E918">
        <v>62</v>
      </c>
      <c r="F918" s="5" t="s">
        <v>717</v>
      </c>
      <c r="G918">
        <v>2</v>
      </c>
      <c r="H918">
        <v>50</v>
      </c>
      <c r="I918">
        <v>100</v>
      </c>
      <c r="J918" t="s">
        <v>24</v>
      </c>
      <c r="K918" t="s">
        <v>1030</v>
      </c>
      <c r="L918" t="s">
        <v>1038</v>
      </c>
      <c r="M918" t="s">
        <v>1033</v>
      </c>
      <c r="N918">
        <v>9</v>
      </c>
      <c r="O918" t="s">
        <v>1043</v>
      </c>
    </row>
    <row r="919" spans="1:15" x14ac:dyDescent="0.25">
      <c r="A919">
        <v>817</v>
      </c>
      <c r="B919" s="6">
        <v>45230</v>
      </c>
      <c r="C919" s="5" t="s">
        <v>941</v>
      </c>
      <c r="D919" s="5" t="s">
        <v>2</v>
      </c>
      <c r="E919">
        <v>30</v>
      </c>
      <c r="F919" s="5" t="s">
        <v>717</v>
      </c>
      <c r="G919">
        <v>4</v>
      </c>
      <c r="H919">
        <v>50</v>
      </c>
      <c r="I919">
        <v>200</v>
      </c>
      <c r="J919" t="s">
        <v>20</v>
      </c>
      <c r="K919" t="s">
        <v>1028</v>
      </c>
      <c r="L919" t="s">
        <v>1038</v>
      </c>
      <c r="M919" t="s">
        <v>1047</v>
      </c>
      <c r="N919">
        <v>10</v>
      </c>
      <c r="O919" t="s">
        <v>1049</v>
      </c>
    </row>
    <row r="920" spans="1:15" x14ac:dyDescent="0.25">
      <c r="A920">
        <v>819</v>
      </c>
      <c r="B920" s="6">
        <v>45092</v>
      </c>
      <c r="C920" s="5" t="s">
        <v>942</v>
      </c>
      <c r="D920" s="5" t="s">
        <v>1</v>
      </c>
      <c r="E920">
        <v>35</v>
      </c>
      <c r="F920" s="5" t="s">
        <v>717</v>
      </c>
      <c r="G920">
        <v>2</v>
      </c>
      <c r="H920">
        <v>50</v>
      </c>
      <c r="I920">
        <v>100</v>
      </c>
      <c r="J920" t="s">
        <v>20</v>
      </c>
      <c r="K920" t="s">
        <v>1028</v>
      </c>
      <c r="L920" t="s">
        <v>1038</v>
      </c>
      <c r="M920" t="s">
        <v>1041</v>
      </c>
      <c r="N920">
        <v>6</v>
      </c>
      <c r="O920" t="s">
        <v>1050</v>
      </c>
    </row>
    <row r="921" spans="1:15" x14ac:dyDescent="0.25">
      <c r="A921">
        <v>822</v>
      </c>
      <c r="B921" s="6">
        <v>45069</v>
      </c>
      <c r="C921" s="5" t="s">
        <v>943</v>
      </c>
      <c r="D921" s="5" t="s">
        <v>1</v>
      </c>
      <c r="E921">
        <v>52</v>
      </c>
      <c r="F921" s="5" t="s">
        <v>717</v>
      </c>
      <c r="G921">
        <v>3</v>
      </c>
      <c r="H921">
        <v>50</v>
      </c>
      <c r="I921">
        <v>150</v>
      </c>
      <c r="J921" t="s">
        <v>20</v>
      </c>
      <c r="K921" t="s">
        <v>1028</v>
      </c>
      <c r="L921" t="s">
        <v>1038</v>
      </c>
      <c r="M921" t="s">
        <v>1041</v>
      </c>
      <c r="N921">
        <v>5</v>
      </c>
      <c r="O921" t="s">
        <v>1032</v>
      </c>
    </row>
    <row r="922" spans="1:15" x14ac:dyDescent="0.25">
      <c r="A922">
        <v>833</v>
      </c>
      <c r="B922" s="6">
        <v>45093</v>
      </c>
      <c r="C922" s="5" t="s">
        <v>944</v>
      </c>
      <c r="D922" s="5" t="s">
        <v>2</v>
      </c>
      <c r="E922">
        <v>42</v>
      </c>
      <c r="F922" s="5" t="s">
        <v>717</v>
      </c>
      <c r="G922">
        <v>4</v>
      </c>
      <c r="H922">
        <v>50</v>
      </c>
      <c r="I922">
        <v>200</v>
      </c>
      <c r="J922" t="s">
        <v>20</v>
      </c>
      <c r="K922" t="s">
        <v>1028</v>
      </c>
      <c r="L922" t="s">
        <v>1038</v>
      </c>
      <c r="M922" t="s">
        <v>1041</v>
      </c>
      <c r="N922">
        <v>6</v>
      </c>
      <c r="O922" t="s">
        <v>1050</v>
      </c>
    </row>
    <row r="923" spans="1:15" x14ac:dyDescent="0.25">
      <c r="A923">
        <v>846</v>
      </c>
      <c r="B923" s="6">
        <v>45191</v>
      </c>
      <c r="C923" s="5" t="s">
        <v>945</v>
      </c>
      <c r="D923" s="5" t="s">
        <v>2</v>
      </c>
      <c r="E923">
        <v>42</v>
      </c>
      <c r="F923" s="5" t="s">
        <v>717</v>
      </c>
      <c r="G923">
        <v>1</v>
      </c>
      <c r="H923">
        <v>50</v>
      </c>
      <c r="I923">
        <v>50</v>
      </c>
      <c r="J923" t="s">
        <v>20</v>
      </c>
      <c r="K923" t="s">
        <v>1028</v>
      </c>
      <c r="L923" t="s">
        <v>1038</v>
      </c>
      <c r="M923" t="s">
        <v>1033</v>
      </c>
      <c r="N923">
        <v>9</v>
      </c>
      <c r="O923" t="s">
        <v>1043</v>
      </c>
    </row>
    <row r="924" spans="1:15" x14ac:dyDescent="0.25">
      <c r="A924">
        <v>902</v>
      </c>
      <c r="B924" s="6">
        <v>45078</v>
      </c>
      <c r="C924" s="5" t="s">
        <v>946</v>
      </c>
      <c r="D924" s="5" t="s">
        <v>1</v>
      </c>
      <c r="E924">
        <v>54</v>
      </c>
      <c r="F924" s="5" t="s">
        <v>717</v>
      </c>
      <c r="G924">
        <v>1</v>
      </c>
      <c r="H924">
        <v>50</v>
      </c>
      <c r="I924">
        <v>50</v>
      </c>
      <c r="J924" t="s">
        <v>20</v>
      </c>
      <c r="K924" t="s">
        <v>1028</v>
      </c>
      <c r="L924" t="s">
        <v>1038</v>
      </c>
      <c r="M924" t="s">
        <v>1041</v>
      </c>
      <c r="N924">
        <v>6</v>
      </c>
      <c r="O924" t="s">
        <v>1050</v>
      </c>
    </row>
    <row r="925" spans="1:15" x14ac:dyDescent="0.25">
      <c r="A925">
        <v>903</v>
      </c>
      <c r="B925" s="6">
        <v>45043</v>
      </c>
      <c r="C925" s="5" t="s">
        <v>947</v>
      </c>
      <c r="D925" s="5" t="s">
        <v>1</v>
      </c>
      <c r="E925">
        <v>51</v>
      </c>
      <c r="F925" s="5" t="s">
        <v>717</v>
      </c>
      <c r="G925">
        <v>4</v>
      </c>
      <c r="H925">
        <v>50</v>
      </c>
      <c r="I925">
        <v>200</v>
      </c>
      <c r="J925" t="s">
        <v>20</v>
      </c>
      <c r="K925" t="s">
        <v>1028</v>
      </c>
      <c r="L925" t="s">
        <v>1038</v>
      </c>
      <c r="M925" t="s">
        <v>1041</v>
      </c>
      <c r="N925">
        <v>4</v>
      </c>
      <c r="O925" t="s">
        <v>1042</v>
      </c>
    </row>
    <row r="926" spans="1:15" x14ac:dyDescent="0.25">
      <c r="A926">
        <v>910</v>
      </c>
      <c r="B926" s="6">
        <v>44991</v>
      </c>
      <c r="C926" s="5" t="s">
        <v>948</v>
      </c>
      <c r="D926" s="5" t="s">
        <v>1</v>
      </c>
      <c r="E926">
        <v>20</v>
      </c>
      <c r="F926" s="5" t="s">
        <v>717</v>
      </c>
      <c r="G926">
        <v>3</v>
      </c>
      <c r="H926">
        <v>50</v>
      </c>
      <c r="I926">
        <v>150</v>
      </c>
      <c r="J926" t="s">
        <v>22</v>
      </c>
      <c r="K926" t="s">
        <v>1029</v>
      </c>
      <c r="L926" t="s">
        <v>1038</v>
      </c>
      <c r="M926" t="s">
        <v>1039</v>
      </c>
      <c r="N926">
        <v>3</v>
      </c>
      <c r="O926" t="s">
        <v>1040</v>
      </c>
    </row>
    <row r="927" spans="1:15" x14ac:dyDescent="0.25">
      <c r="A927">
        <v>912</v>
      </c>
      <c r="B927" s="6">
        <v>44950</v>
      </c>
      <c r="C927" s="5" t="s">
        <v>949</v>
      </c>
      <c r="D927" s="5" t="s">
        <v>2</v>
      </c>
      <c r="E927">
        <v>51</v>
      </c>
      <c r="F927" s="5" t="s">
        <v>717</v>
      </c>
      <c r="G927">
        <v>3</v>
      </c>
      <c r="H927">
        <v>50</v>
      </c>
      <c r="I927">
        <v>150</v>
      </c>
      <c r="J927" t="s">
        <v>20</v>
      </c>
      <c r="K927" t="s">
        <v>1028</v>
      </c>
      <c r="L927" t="s">
        <v>1038</v>
      </c>
      <c r="M927" t="s">
        <v>1039</v>
      </c>
      <c r="N927">
        <v>1</v>
      </c>
      <c r="O927" t="s">
        <v>1045</v>
      </c>
    </row>
    <row r="928" spans="1:15" x14ac:dyDescent="0.25">
      <c r="A928">
        <v>924</v>
      </c>
      <c r="B928" s="6">
        <v>45167</v>
      </c>
      <c r="C928" s="5" t="s">
        <v>950</v>
      </c>
      <c r="D928" s="5" t="s">
        <v>2</v>
      </c>
      <c r="E928">
        <v>55</v>
      </c>
      <c r="F928" s="5" t="s">
        <v>717</v>
      </c>
      <c r="G928">
        <v>2</v>
      </c>
      <c r="H928">
        <v>50</v>
      </c>
      <c r="I928">
        <v>100</v>
      </c>
      <c r="J928" t="s">
        <v>20</v>
      </c>
      <c r="K928" t="s">
        <v>1028</v>
      </c>
      <c r="L928" t="s">
        <v>1038</v>
      </c>
      <c r="M928" t="s">
        <v>1033</v>
      </c>
      <c r="N928">
        <v>8</v>
      </c>
      <c r="O928" t="s">
        <v>1051</v>
      </c>
    </row>
    <row r="929" spans="1:15" x14ac:dyDescent="0.25">
      <c r="A929">
        <v>935</v>
      </c>
      <c r="B929" s="6">
        <v>45178</v>
      </c>
      <c r="C929" s="5" t="s">
        <v>951</v>
      </c>
      <c r="D929" s="5" t="s">
        <v>1</v>
      </c>
      <c r="E929">
        <v>34</v>
      </c>
      <c r="F929" s="5" t="s">
        <v>717</v>
      </c>
      <c r="G929">
        <v>1</v>
      </c>
      <c r="H929">
        <v>50</v>
      </c>
      <c r="I929">
        <v>50</v>
      </c>
      <c r="J929" t="s">
        <v>20</v>
      </c>
      <c r="K929" t="s">
        <v>1028</v>
      </c>
      <c r="L929" t="s">
        <v>1038</v>
      </c>
      <c r="M929" t="s">
        <v>1033</v>
      </c>
      <c r="N929">
        <v>9</v>
      </c>
      <c r="O929" t="s">
        <v>1043</v>
      </c>
    </row>
    <row r="930" spans="1:15" x14ac:dyDescent="0.25">
      <c r="A930">
        <v>936</v>
      </c>
      <c r="B930" s="6">
        <v>44964</v>
      </c>
      <c r="C930" s="5" t="s">
        <v>952</v>
      </c>
      <c r="D930" s="5" t="s">
        <v>2</v>
      </c>
      <c r="E930">
        <v>57</v>
      </c>
      <c r="F930" s="5" t="s">
        <v>717</v>
      </c>
      <c r="G930">
        <v>4</v>
      </c>
      <c r="H930">
        <v>50</v>
      </c>
      <c r="I930">
        <v>200</v>
      </c>
      <c r="J930" t="s">
        <v>24</v>
      </c>
      <c r="K930" t="s">
        <v>1030</v>
      </c>
      <c r="L930" t="s">
        <v>1038</v>
      </c>
      <c r="M930" t="s">
        <v>1039</v>
      </c>
      <c r="N930">
        <v>2</v>
      </c>
      <c r="O930" t="s">
        <v>1044</v>
      </c>
    </row>
    <row r="931" spans="1:15" x14ac:dyDescent="0.25">
      <c r="A931">
        <v>951</v>
      </c>
      <c r="B931" s="6">
        <v>45232</v>
      </c>
      <c r="C931" s="5" t="s">
        <v>953</v>
      </c>
      <c r="D931" s="5" t="s">
        <v>2</v>
      </c>
      <c r="E931">
        <v>33</v>
      </c>
      <c r="F931" s="5" t="s">
        <v>717</v>
      </c>
      <c r="G931">
        <v>2</v>
      </c>
      <c r="H931">
        <v>50</v>
      </c>
      <c r="I931">
        <v>100</v>
      </c>
      <c r="J931" t="s">
        <v>20</v>
      </c>
      <c r="K931" t="s">
        <v>1028</v>
      </c>
      <c r="L931" t="s">
        <v>1038</v>
      </c>
      <c r="M931" t="s">
        <v>1047</v>
      </c>
      <c r="N931">
        <v>11</v>
      </c>
      <c r="O931" t="s">
        <v>1048</v>
      </c>
    </row>
    <row r="932" spans="1:15" x14ac:dyDescent="0.25">
      <c r="A932">
        <v>961</v>
      </c>
      <c r="B932" s="6">
        <v>45083</v>
      </c>
      <c r="C932" s="5" t="s">
        <v>954</v>
      </c>
      <c r="D932" s="5" t="s">
        <v>2</v>
      </c>
      <c r="E932">
        <v>53</v>
      </c>
      <c r="F932" s="5" t="s">
        <v>717</v>
      </c>
      <c r="G932">
        <v>4</v>
      </c>
      <c r="H932">
        <v>50</v>
      </c>
      <c r="I932">
        <v>200</v>
      </c>
      <c r="J932" t="s">
        <v>20</v>
      </c>
      <c r="K932" t="s">
        <v>1028</v>
      </c>
      <c r="L932" t="s">
        <v>1038</v>
      </c>
      <c r="M932" t="s">
        <v>1041</v>
      </c>
      <c r="N932">
        <v>6</v>
      </c>
      <c r="O932" t="s">
        <v>1050</v>
      </c>
    </row>
    <row r="933" spans="1:15" x14ac:dyDescent="0.25">
      <c r="A933">
        <v>963</v>
      </c>
      <c r="B933" s="6">
        <v>45244</v>
      </c>
      <c r="C933" s="5" t="s">
        <v>955</v>
      </c>
      <c r="D933" s="5" t="s">
        <v>1</v>
      </c>
      <c r="E933">
        <v>55</v>
      </c>
      <c r="F933" s="5" t="s">
        <v>717</v>
      </c>
      <c r="G933">
        <v>1</v>
      </c>
      <c r="H933">
        <v>50</v>
      </c>
      <c r="I933">
        <v>50</v>
      </c>
      <c r="J933" t="s">
        <v>20</v>
      </c>
      <c r="K933" t="s">
        <v>1028</v>
      </c>
      <c r="L933" t="s">
        <v>1038</v>
      </c>
      <c r="M933" t="s">
        <v>1047</v>
      </c>
      <c r="N933">
        <v>11</v>
      </c>
      <c r="O933" t="s">
        <v>1048</v>
      </c>
    </row>
    <row r="934" spans="1:15" x14ac:dyDescent="0.25">
      <c r="A934">
        <v>21</v>
      </c>
      <c r="B934" s="6">
        <v>44940</v>
      </c>
      <c r="C934" s="5" t="s">
        <v>956</v>
      </c>
      <c r="D934" s="5" t="s">
        <v>1</v>
      </c>
      <c r="E934">
        <v>50</v>
      </c>
      <c r="F934" s="5" t="s">
        <v>717</v>
      </c>
      <c r="G934">
        <v>1</v>
      </c>
      <c r="H934">
        <v>500</v>
      </c>
      <c r="I934">
        <v>500</v>
      </c>
      <c r="J934" t="s">
        <v>20</v>
      </c>
      <c r="K934" t="s">
        <v>1028</v>
      </c>
      <c r="L934" t="s">
        <v>1038</v>
      </c>
      <c r="M934" t="s">
        <v>1039</v>
      </c>
      <c r="N934">
        <v>1</v>
      </c>
      <c r="O934" t="s">
        <v>1045</v>
      </c>
    </row>
    <row r="935" spans="1:15" x14ac:dyDescent="0.25">
      <c r="A935">
        <v>28</v>
      </c>
      <c r="B935" s="6">
        <v>45039</v>
      </c>
      <c r="C935" s="5" t="s">
        <v>957</v>
      </c>
      <c r="D935" s="5" t="s">
        <v>1</v>
      </c>
      <c r="E935">
        <v>43</v>
      </c>
      <c r="F935" s="5" t="s">
        <v>717</v>
      </c>
      <c r="G935">
        <v>1</v>
      </c>
      <c r="H935">
        <v>500</v>
      </c>
      <c r="I935">
        <v>500</v>
      </c>
      <c r="J935" t="s">
        <v>20</v>
      </c>
      <c r="K935" t="s">
        <v>1028</v>
      </c>
      <c r="L935" t="s">
        <v>1038</v>
      </c>
      <c r="M935" t="s">
        <v>1041</v>
      </c>
      <c r="N935">
        <v>4</v>
      </c>
      <c r="O935" t="s">
        <v>1042</v>
      </c>
    </row>
    <row r="936" spans="1:15" x14ac:dyDescent="0.25">
      <c r="A936">
        <v>47</v>
      </c>
      <c r="B936" s="6">
        <v>45236</v>
      </c>
      <c r="C936" s="5" t="s">
        <v>958</v>
      </c>
      <c r="D936" s="5" t="s">
        <v>1</v>
      </c>
      <c r="E936">
        <v>40</v>
      </c>
      <c r="F936" s="5" t="s">
        <v>717</v>
      </c>
      <c r="G936">
        <v>3</v>
      </c>
      <c r="H936">
        <v>500</v>
      </c>
      <c r="I936">
        <v>1500</v>
      </c>
      <c r="J936" t="s">
        <v>20</v>
      </c>
      <c r="K936" t="s">
        <v>1028</v>
      </c>
      <c r="L936" t="s">
        <v>1038</v>
      </c>
      <c r="M936" t="s">
        <v>1047</v>
      </c>
      <c r="N936">
        <v>11</v>
      </c>
      <c r="O936" t="s">
        <v>1048</v>
      </c>
    </row>
    <row r="937" spans="1:15" x14ac:dyDescent="0.25">
      <c r="A937">
        <v>74</v>
      </c>
      <c r="B937" s="6">
        <v>45252</v>
      </c>
      <c r="C937" s="5" t="s">
        <v>959</v>
      </c>
      <c r="D937" s="5" t="s">
        <v>1</v>
      </c>
      <c r="E937">
        <v>18</v>
      </c>
      <c r="F937" s="5" t="s">
        <v>717</v>
      </c>
      <c r="G937">
        <v>4</v>
      </c>
      <c r="H937">
        <v>500</v>
      </c>
      <c r="I937">
        <v>2000</v>
      </c>
      <c r="J937" t="s">
        <v>22</v>
      </c>
      <c r="K937" t="s">
        <v>1029</v>
      </c>
      <c r="L937" t="s">
        <v>1038</v>
      </c>
      <c r="M937" t="s">
        <v>1047</v>
      </c>
      <c r="N937">
        <v>11</v>
      </c>
      <c r="O937" t="s">
        <v>1048</v>
      </c>
    </row>
    <row r="938" spans="1:15" x14ac:dyDescent="0.25">
      <c r="A938">
        <v>93</v>
      </c>
      <c r="B938" s="6">
        <v>45121</v>
      </c>
      <c r="C938" s="5" t="s">
        <v>960</v>
      </c>
      <c r="D938" s="5" t="s">
        <v>1</v>
      </c>
      <c r="E938">
        <v>35</v>
      </c>
      <c r="F938" s="5" t="s">
        <v>717</v>
      </c>
      <c r="G938">
        <v>4</v>
      </c>
      <c r="H938">
        <v>500</v>
      </c>
      <c r="I938">
        <v>2000</v>
      </c>
      <c r="J938" t="s">
        <v>20</v>
      </c>
      <c r="K938" t="s">
        <v>1028</v>
      </c>
      <c r="L938" t="s">
        <v>1038</v>
      </c>
      <c r="M938" t="s">
        <v>1033</v>
      </c>
      <c r="N938">
        <v>7</v>
      </c>
      <c r="O938" t="s">
        <v>1046</v>
      </c>
    </row>
    <row r="939" spans="1:15" x14ac:dyDescent="0.25">
      <c r="A939">
        <v>94</v>
      </c>
      <c r="B939" s="6">
        <v>45065</v>
      </c>
      <c r="C939" s="5" t="s">
        <v>961</v>
      </c>
      <c r="D939" s="5" t="s">
        <v>1</v>
      </c>
      <c r="E939">
        <v>47</v>
      </c>
      <c r="F939" s="5" t="s">
        <v>717</v>
      </c>
      <c r="G939">
        <v>2</v>
      </c>
      <c r="H939">
        <v>500</v>
      </c>
      <c r="I939">
        <v>1000</v>
      </c>
      <c r="J939" t="s">
        <v>20</v>
      </c>
      <c r="K939" t="s">
        <v>1028</v>
      </c>
      <c r="L939" t="s">
        <v>1038</v>
      </c>
      <c r="M939" t="s">
        <v>1041</v>
      </c>
      <c r="N939">
        <v>5</v>
      </c>
      <c r="O939" t="s">
        <v>1032</v>
      </c>
    </row>
    <row r="940" spans="1:15" x14ac:dyDescent="0.25">
      <c r="A940">
        <v>97</v>
      </c>
      <c r="B940" s="6">
        <v>45212</v>
      </c>
      <c r="C940" s="5" t="s">
        <v>962</v>
      </c>
      <c r="D940" s="5" t="s">
        <v>1</v>
      </c>
      <c r="E940">
        <v>51</v>
      </c>
      <c r="F940" s="5" t="s">
        <v>717</v>
      </c>
      <c r="G940">
        <v>2</v>
      </c>
      <c r="H940">
        <v>500</v>
      </c>
      <c r="I940">
        <v>1000</v>
      </c>
      <c r="J940" t="s">
        <v>20</v>
      </c>
      <c r="K940" t="s">
        <v>1028</v>
      </c>
      <c r="L940" t="s">
        <v>1038</v>
      </c>
      <c r="M940" t="s">
        <v>1047</v>
      </c>
      <c r="N940">
        <v>10</v>
      </c>
      <c r="O940" t="s">
        <v>1049</v>
      </c>
    </row>
    <row r="941" spans="1:15" x14ac:dyDescent="0.25">
      <c r="A941">
        <v>104</v>
      </c>
      <c r="B941" s="6">
        <v>45088</v>
      </c>
      <c r="C941" s="5" t="s">
        <v>963</v>
      </c>
      <c r="D941" s="5" t="s">
        <v>1</v>
      </c>
      <c r="E941">
        <v>34</v>
      </c>
      <c r="F941" s="5" t="s">
        <v>717</v>
      </c>
      <c r="G941">
        <v>2</v>
      </c>
      <c r="H941">
        <v>500</v>
      </c>
      <c r="I941">
        <v>1000</v>
      </c>
      <c r="J941" t="s">
        <v>20</v>
      </c>
      <c r="K941" t="s">
        <v>1028</v>
      </c>
      <c r="L941" t="s">
        <v>1038</v>
      </c>
      <c r="M941" t="s">
        <v>1041</v>
      </c>
      <c r="N941">
        <v>6</v>
      </c>
      <c r="O941" t="s">
        <v>1050</v>
      </c>
    </row>
    <row r="942" spans="1:15" x14ac:dyDescent="0.25">
      <c r="A942">
        <v>128</v>
      </c>
      <c r="B942" s="6">
        <v>45112</v>
      </c>
      <c r="C942" s="5" t="s">
        <v>964</v>
      </c>
      <c r="D942" s="5" t="s">
        <v>2</v>
      </c>
      <c r="E942">
        <v>25</v>
      </c>
      <c r="F942" s="5" t="s">
        <v>717</v>
      </c>
      <c r="G942">
        <v>1</v>
      </c>
      <c r="H942">
        <v>500</v>
      </c>
      <c r="I942">
        <v>500</v>
      </c>
      <c r="J942" t="s">
        <v>22</v>
      </c>
      <c r="K942" t="s">
        <v>1029</v>
      </c>
      <c r="L942" t="s">
        <v>1038</v>
      </c>
      <c r="M942" t="s">
        <v>1033</v>
      </c>
      <c r="N942">
        <v>7</v>
      </c>
      <c r="O942" t="s">
        <v>1046</v>
      </c>
    </row>
    <row r="943" spans="1:15" x14ac:dyDescent="0.25">
      <c r="A943">
        <v>137</v>
      </c>
      <c r="B943" s="6">
        <v>45248</v>
      </c>
      <c r="C943" s="5" t="s">
        <v>965</v>
      </c>
      <c r="D943" s="5" t="s">
        <v>2</v>
      </c>
      <c r="E943">
        <v>46</v>
      </c>
      <c r="F943" s="5" t="s">
        <v>717</v>
      </c>
      <c r="G943">
        <v>2</v>
      </c>
      <c r="H943">
        <v>500</v>
      </c>
      <c r="I943">
        <v>1000</v>
      </c>
      <c r="J943" t="s">
        <v>20</v>
      </c>
      <c r="K943" t="s">
        <v>1028</v>
      </c>
      <c r="L943" t="s">
        <v>1038</v>
      </c>
      <c r="M943" t="s">
        <v>1047</v>
      </c>
      <c r="N943">
        <v>11</v>
      </c>
      <c r="O943" t="s">
        <v>1048</v>
      </c>
    </row>
    <row r="944" spans="1:15" x14ac:dyDescent="0.25">
      <c r="A944">
        <v>139</v>
      </c>
      <c r="B944" s="6">
        <v>45275</v>
      </c>
      <c r="C944" s="5" t="s">
        <v>966</v>
      </c>
      <c r="D944" s="5" t="s">
        <v>2</v>
      </c>
      <c r="E944">
        <v>36</v>
      </c>
      <c r="F944" s="5" t="s">
        <v>717</v>
      </c>
      <c r="G944">
        <v>4</v>
      </c>
      <c r="H944">
        <v>500</v>
      </c>
      <c r="I944">
        <v>2000</v>
      </c>
      <c r="J944" t="s">
        <v>20</v>
      </c>
      <c r="K944" t="s">
        <v>1028</v>
      </c>
      <c r="L944" t="s">
        <v>1038</v>
      </c>
      <c r="M944" t="s">
        <v>1047</v>
      </c>
      <c r="N944">
        <v>12</v>
      </c>
      <c r="O944" t="s">
        <v>1052</v>
      </c>
    </row>
    <row r="945" spans="1:15" x14ac:dyDescent="0.25">
      <c r="A945">
        <v>144</v>
      </c>
      <c r="B945" s="6">
        <v>45122</v>
      </c>
      <c r="C945" s="5" t="s">
        <v>967</v>
      </c>
      <c r="D945" s="5" t="s">
        <v>1</v>
      </c>
      <c r="E945">
        <v>59</v>
      </c>
      <c r="F945" s="5" t="s">
        <v>717</v>
      </c>
      <c r="G945">
        <v>3</v>
      </c>
      <c r="H945">
        <v>500</v>
      </c>
      <c r="I945">
        <v>1500</v>
      </c>
      <c r="J945" t="s">
        <v>24</v>
      </c>
      <c r="K945" t="s">
        <v>1030</v>
      </c>
      <c r="L945" t="s">
        <v>1038</v>
      </c>
      <c r="M945" t="s">
        <v>1033</v>
      </c>
      <c r="N945">
        <v>7</v>
      </c>
      <c r="O945" t="s">
        <v>1046</v>
      </c>
    </row>
    <row r="946" spans="1:15" x14ac:dyDescent="0.25">
      <c r="A946">
        <v>161</v>
      </c>
      <c r="B946" s="6">
        <v>45007</v>
      </c>
      <c r="C946" s="5" t="s">
        <v>968</v>
      </c>
      <c r="D946" s="5" t="s">
        <v>2</v>
      </c>
      <c r="E946">
        <v>64</v>
      </c>
      <c r="F946" s="5" t="s">
        <v>717</v>
      </c>
      <c r="G946">
        <v>2</v>
      </c>
      <c r="H946">
        <v>500</v>
      </c>
      <c r="I946">
        <v>1000</v>
      </c>
      <c r="J946" t="s">
        <v>24</v>
      </c>
      <c r="K946" t="s">
        <v>1030</v>
      </c>
      <c r="L946" t="s">
        <v>1038</v>
      </c>
      <c r="M946" t="s">
        <v>1039</v>
      </c>
      <c r="N946">
        <v>3</v>
      </c>
      <c r="O946" t="s">
        <v>1040</v>
      </c>
    </row>
    <row r="947" spans="1:15" x14ac:dyDescent="0.25">
      <c r="A947">
        <v>164</v>
      </c>
      <c r="B947" s="6">
        <v>45061</v>
      </c>
      <c r="C947" s="5" t="s">
        <v>969</v>
      </c>
      <c r="D947" s="5" t="s">
        <v>1</v>
      </c>
      <c r="E947">
        <v>47</v>
      </c>
      <c r="F947" s="5" t="s">
        <v>717</v>
      </c>
      <c r="G947">
        <v>3</v>
      </c>
      <c r="H947">
        <v>500</v>
      </c>
      <c r="I947">
        <v>1500</v>
      </c>
      <c r="J947" t="s">
        <v>20</v>
      </c>
      <c r="K947" t="s">
        <v>1028</v>
      </c>
      <c r="L947" t="s">
        <v>1038</v>
      </c>
      <c r="M947" t="s">
        <v>1041</v>
      </c>
      <c r="N947">
        <v>5</v>
      </c>
      <c r="O947" t="s">
        <v>1032</v>
      </c>
    </row>
    <row r="948" spans="1:15" x14ac:dyDescent="0.25">
      <c r="A948">
        <v>169</v>
      </c>
      <c r="B948" s="6">
        <v>45247</v>
      </c>
      <c r="C948" s="5" t="s">
        <v>970</v>
      </c>
      <c r="D948" s="5" t="s">
        <v>2</v>
      </c>
      <c r="E948">
        <v>18</v>
      </c>
      <c r="F948" s="5" t="s">
        <v>717</v>
      </c>
      <c r="G948">
        <v>3</v>
      </c>
      <c r="H948">
        <v>500</v>
      </c>
      <c r="I948">
        <v>1500</v>
      </c>
      <c r="J948" t="s">
        <v>22</v>
      </c>
      <c r="K948" t="s">
        <v>1029</v>
      </c>
      <c r="L948" t="s">
        <v>1038</v>
      </c>
      <c r="M948" t="s">
        <v>1047</v>
      </c>
      <c r="N948">
        <v>11</v>
      </c>
      <c r="O948" t="s">
        <v>1048</v>
      </c>
    </row>
    <row r="949" spans="1:15" x14ac:dyDescent="0.25">
      <c r="A949">
        <v>193</v>
      </c>
      <c r="B949" s="6">
        <v>44970</v>
      </c>
      <c r="C949" s="5" t="s">
        <v>971</v>
      </c>
      <c r="D949" s="5" t="s">
        <v>2</v>
      </c>
      <c r="E949">
        <v>35</v>
      </c>
      <c r="F949" s="5" t="s">
        <v>717</v>
      </c>
      <c r="G949">
        <v>3</v>
      </c>
      <c r="H949">
        <v>500</v>
      </c>
      <c r="I949">
        <v>1500</v>
      </c>
      <c r="J949" t="s">
        <v>20</v>
      </c>
      <c r="K949" t="s">
        <v>1028</v>
      </c>
      <c r="L949" t="s">
        <v>1038</v>
      </c>
      <c r="M949" t="s">
        <v>1039</v>
      </c>
      <c r="N949">
        <v>2</v>
      </c>
      <c r="O949" t="s">
        <v>1044</v>
      </c>
    </row>
    <row r="950" spans="1:15" x14ac:dyDescent="0.25">
      <c r="A950">
        <v>199</v>
      </c>
      <c r="B950" s="6">
        <v>45264</v>
      </c>
      <c r="C950" s="5" t="s">
        <v>972</v>
      </c>
      <c r="D950" s="5" t="s">
        <v>2</v>
      </c>
      <c r="E950">
        <v>45</v>
      </c>
      <c r="F950" s="5" t="s">
        <v>717</v>
      </c>
      <c r="G950">
        <v>3</v>
      </c>
      <c r="H950">
        <v>500</v>
      </c>
      <c r="I950">
        <v>1500</v>
      </c>
      <c r="J950" t="s">
        <v>20</v>
      </c>
      <c r="K950" t="s">
        <v>1028</v>
      </c>
      <c r="L950" t="s">
        <v>1038</v>
      </c>
      <c r="M950" t="s">
        <v>1047</v>
      </c>
      <c r="N950">
        <v>12</v>
      </c>
      <c r="O950" t="s">
        <v>1052</v>
      </c>
    </row>
    <row r="951" spans="1:15" x14ac:dyDescent="0.25">
      <c r="A951">
        <v>211</v>
      </c>
      <c r="B951" s="6">
        <v>45292</v>
      </c>
      <c r="C951" s="5" t="s">
        <v>973</v>
      </c>
      <c r="D951" s="5" t="s">
        <v>2</v>
      </c>
      <c r="E951">
        <v>42</v>
      </c>
      <c r="F951" s="5" t="s">
        <v>717</v>
      </c>
      <c r="G951">
        <v>3</v>
      </c>
      <c r="H951">
        <v>500</v>
      </c>
      <c r="I951">
        <v>1500</v>
      </c>
      <c r="J951" t="s">
        <v>20</v>
      </c>
      <c r="K951" t="s">
        <v>1028</v>
      </c>
      <c r="L951" t="s">
        <v>1053</v>
      </c>
      <c r="M951" t="s">
        <v>1039</v>
      </c>
      <c r="N951">
        <v>1</v>
      </c>
      <c r="O951" t="s">
        <v>1045</v>
      </c>
    </row>
    <row r="952" spans="1:15" x14ac:dyDescent="0.25">
      <c r="A952">
        <v>213</v>
      </c>
      <c r="B952" s="6">
        <v>45131</v>
      </c>
      <c r="C952" s="5" t="s">
        <v>974</v>
      </c>
      <c r="D952" s="5" t="s">
        <v>2</v>
      </c>
      <c r="E952">
        <v>27</v>
      </c>
      <c r="F952" s="5" t="s">
        <v>717</v>
      </c>
      <c r="G952">
        <v>3</v>
      </c>
      <c r="H952">
        <v>500</v>
      </c>
      <c r="I952">
        <v>1500</v>
      </c>
      <c r="J952" t="s">
        <v>22</v>
      </c>
      <c r="K952" t="s">
        <v>1029</v>
      </c>
      <c r="L952" t="s">
        <v>1038</v>
      </c>
      <c r="M952" t="s">
        <v>1033</v>
      </c>
      <c r="N952">
        <v>7</v>
      </c>
      <c r="O952" t="s">
        <v>1046</v>
      </c>
    </row>
    <row r="953" spans="1:15" x14ac:dyDescent="0.25">
      <c r="A953">
        <v>220</v>
      </c>
      <c r="B953" s="6">
        <v>44988</v>
      </c>
      <c r="C953" s="5" t="s">
        <v>975</v>
      </c>
      <c r="D953" s="5" t="s">
        <v>2</v>
      </c>
      <c r="E953">
        <v>64</v>
      </c>
      <c r="F953" s="5" t="s">
        <v>717</v>
      </c>
      <c r="G953">
        <v>1</v>
      </c>
      <c r="H953">
        <v>500</v>
      </c>
      <c r="I953">
        <v>500</v>
      </c>
      <c r="J953" t="s">
        <v>24</v>
      </c>
      <c r="K953" t="s">
        <v>1030</v>
      </c>
      <c r="L953" t="s">
        <v>1038</v>
      </c>
      <c r="M953" t="s">
        <v>1039</v>
      </c>
      <c r="N953">
        <v>3</v>
      </c>
      <c r="O953" t="s">
        <v>1040</v>
      </c>
    </row>
    <row r="954" spans="1:15" x14ac:dyDescent="0.25">
      <c r="A954">
        <v>237</v>
      </c>
      <c r="B954" s="6">
        <v>44961</v>
      </c>
      <c r="C954" s="5" t="s">
        <v>976</v>
      </c>
      <c r="D954" s="5" t="s">
        <v>1</v>
      </c>
      <c r="E954">
        <v>50</v>
      </c>
      <c r="F954" s="5" t="s">
        <v>717</v>
      </c>
      <c r="G954">
        <v>2</v>
      </c>
      <c r="H954">
        <v>500</v>
      </c>
      <c r="I954">
        <v>1000</v>
      </c>
      <c r="J954" t="s">
        <v>20</v>
      </c>
      <c r="K954" t="s">
        <v>1028</v>
      </c>
      <c r="L954" t="s">
        <v>1038</v>
      </c>
      <c r="M954" t="s">
        <v>1039</v>
      </c>
      <c r="N954">
        <v>2</v>
      </c>
      <c r="O954" t="s">
        <v>1044</v>
      </c>
    </row>
    <row r="955" spans="1:15" x14ac:dyDescent="0.25">
      <c r="A955">
        <v>238</v>
      </c>
      <c r="B955" s="6">
        <v>44943</v>
      </c>
      <c r="C955" s="5" t="s">
        <v>977</v>
      </c>
      <c r="D955" s="5" t="s">
        <v>1</v>
      </c>
      <c r="E955">
        <v>39</v>
      </c>
      <c r="F955" s="5" t="s">
        <v>717</v>
      </c>
      <c r="G955">
        <v>1</v>
      </c>
      <c r="H955">
        <v>500</v>
      </c>
      <c r="I955">
        <v>500</v>
      </c>
      <c r="J955" t="s">
        <v>20</v>
      </c>
      <c r="K955" t="s">
        <v>1028</v>
      </c>
      <c r="L955" t="s">
        <v>1038</v>
      </c>
      <c r="M955" t="s">
        <v>1039</v>
      </c>
      <c r="N955">
        <v>1</v>
      </c>
      <c r="O955" t="s">
        <v>1045</v>
      </c>
    </row>
    <row r="956" spans="1:15" x14ac:dyDescent="0.25">
      <c r="A956">
        <v>257</v>
      </c>
      <c r="B956" s="6">
        <v>44976</v>
      </c>
      <c r="C956" s="5" t="s">
        <v>978</v>
      </c>
      <c r="D956" s="5" t="s">
        <v>2</v>
      </c>
      <c r="E956">
        <v>19</v>
      </c>
      <c r="F956" s="5" t="s">
        <v>717</v>
      </c>
      <c r="G956">
        <v>4</v>
      </c>
      <c r="H956">
        <v>500</v>
      </c>
      <c r="I956">
        <v>2000</v>
      </c>
      <c r="J956" t="s">
        <v>22</v>
      </c>
      <c r="K956" t="s">
        <v>1029</v>
      </c>
      <c r="L956" t="s">
        <v>1038</v>
      </c>
      <c r="M956" t="s">
        <v>1039</v>
      </c>
      <c r="N956">
        <v>2</v>
      </c>
      <c r="O956" t="s">
        <v>1044</v>
      </c>
    </row>
    <row r="957" spans="1:15" x14ac:dyDescent="0.25">
      <c r="A957">
        <v>281</v>
      </c>
      <c r="B957" s="6">
        <v>45069</v>
      </c>
      <c r="C957" s="5" t="s">
        <v>979</v>
      </c>
      <c r="D957" s="5" t="s">
        <v>1</v>
      </c>
      <c r="E957">
        <v>29</v>
      </c>
      <c r="F957" s="5" t="s">
        <v>717</v>
      </c>
      <c r="G957">
        <v>4</v>
      </c>
      <c r="H957">
        <v>500</v>
      </c>
      <c r="I957">
        <v>2000</v>
      </c>
      <c r="J957" t="s">
        <v>22</v>
      </c>
      <c r="K957" t="s">
        <v>1029</v>
      </c>
      <c r="L957" t="s">
        <v>1038</v>
      </c>
      <c r="M957" t="s">
        <v>1041</v>
      </c>
      <c r="N957">
        <v>5</v>
      </c>
      <c r="O957" t="s">
        <v>1032</v>
      </c>
    </row>
    <row r="958" spans="1:15" x14ac:dyDescent="0.25">
      <c r="A958">
        <v>313</v>
      </c>
      <c r="B958" s="6">
        <v>45006</v>
      </c>
      <c r="C958" s="5" t="s">
        <v>980</v>
      </c>
      <c r="D958" s="5" t="s">
        <v>1</v>
      </c>
      <c r="E958">
        <v>55</v>
      </c>
      <c r="F958" s="5" t="s">
        <v>717</v>
      </c>
      <c r="G958">
        <v>3</v>
      </c>
      <c r="H958">
        <v>500</v>
      </c>
      <c r="I958">
        <v>1500</v>
      </c>
      <c r="J958" t="s">
        <v>20</v>
      </c>
      <c r="K958" t="s">
        <v>1028</v>
      </c>
      <c r="L958" t="s">
        <v>1038</v>
      </c>
      <c r="M958" t="s">
        <v>1039</v>
      </c>
      <c r="N958">
        <v>3</v>
      </c>
      <c r="O958" t="s">
        <v>1040</v>
      </c>
    </row>
    <row r="959" spans="1:15" x14ac:dyDescent="0.25">
      <c r="A959">
        <v>364</v>
      </c>
      <c r="B959" s="6">
        <v>45161</v>
      </c>
      <c r="C959" s="5" t="s">
        <v>981</v>
      </c>
      <c r="D959" s="5" t="s">
        <v>1</v>
      </c>
      <c r="E959">
        <v>19</v>
      </c>
      <c r="F959" s="5" t="s">
        <v>717</v>
      </c>
      <c r="G959">
        <v>1</v>
      </c>
      <c r="H959">
        <v>500</v>
      </c>
      <c r="I959">
        <v>500</v>
      </c>
      <c r="J959" t="s">
        <v>22</v>
      </c>
      <c r="K959" t="s">
        <v>1029</v>
      </c>
      <c r="L959" t="s">
        <v>1038</v>
      </c>
      <c r="M959" t="s">
        <v>1033</v>
      </c>
      <c r="N959">
        <v>8</v>
      </c>
      <c r="O959" t="s">
        <v>1051</v>
      </c>
    </row>
    <row r="960" spans="1:15" x14ac:dyDescent="0.25">
      <c r="A960">
        <v>372</v>
      </c>
      <c r="B960" s="6">
        <v>44964</v>
      </c>
      <c r="C960" s="5" t="s">
        <v>982</v>
      </c>
      <c r="D960" s="5" t="s">
        <v>1</v>
      </c>
      <c r="E960">
        <v>24</v>
      </c>
      <c r="F960" s="5" t="s">
        <v>717</v>
      </c>
      <c r="G960">
        <v>3</v>
      </c>
      <c r="H960">
        <v>500</v>
      </c>
      <c r="I960">
        <v>1500</v>
      </c>
      <c r="J960" t="s">
        <v>22</v>
      </c>
      <c r="K960" t="s">
        <v>1029</v>
      </c>
      <c r="L960" t="s">
        <v>1038</v>
      </c>
      <c r="M960" t="s">
        <v>1039</v>
      </c>
      <c r="N960">
        <v>2</v>
      </c>
      <c r="O960" t="s">
        <v>1044</v>
      </c>
    </row>
    <row r="961" spans="1:15" x14ac:dyDescent="0.25">
      <c r="A961">
        <v>393</v>
      </c>
      <c r="B961" s="6">
        <v>45210</v>
      </c>
      <c r="C961" s="5" t="s">
        <v>983</v>
      </c>
      <c r="D961" s="5" t="s">
        <v>1</v>
      </c>
      <c r="E961">
        <v>22</v>
      </c>
      <c r="F961" s="5" t="s">
        <v>717</v>
      </c>
      <c r="G961">
        <v>2</v>
      </c>
      <c r="H961">
        <v>500</v>
      </c>
      <c r="I961">
        <v>1000</v>
      </c>
      <c r="J961" t="s">
        <v>22</v>
      </c>
      <c r="K961" t="s">
        <v>1029</v>
      </c>
      <c r="L961" t="s">
        <v>1038</v>
      </c>
      <c r="M961" t="s">
        <v>1047</v>
      </c>
      <c r="N961">
        <v>10</v>
      </c>
      <c r="O961" t="s">
        <v>1049</v>
      </c>
    </row>
    <row r="962" spans="1:15" x14ac:dyDescent="0.25">
      <c r="A962">
        <v>408</v>
      </c>
      <c r="B962" s="6">
        <v>45031</v>
      </c>
      <c r="C962" s="5" t="s">
        <v>984</v>
      </c>
      <c r="D962" s="5" t="s">
        <v>1</v>
      </c>
      <c r="E962">
        <v>64</v>
      </c>
      <c r="F962" s="5" t="s">
        <v>717</v>
      </c>
      <c r="G962">
        <v>1</v>
      </c>
      <c r="H962">
        <v>500</v>
      </c>
      <c r="I962">
        <v>500</v>
      </c>
      <c r="J962" t="s">
        <v>24</v>
      </c>
      <c r="K962" t="s">
        <v>1030</v>
      </c>
      <c r="L962" t="s">
        <v>1038</v>
      </c>
      <c r="M962" t="s">
        <v>1041</v>
      </c>
      <c r="N962">
        <v>4</v>
      </c>
      <c r="O962" t="s">
        <v>1042</v>
      </c>
    </row>
    <row r="963" spans="1:15" x14ac:dyDescent="0.25">
      <c r="A963">
        <v>447</v>
      </c>
      <c r="B963" s="6">
        <v>45113</v>
      </c>
      <c r="C963" s="5" t="s">
        <v>985</v>
      </c>
      <c r="D963" s="5" t="s">
        <v>2</v>
      </c>
      <c r="E963">
        <v>22</v>
      </c>
      <c r="F963" s="5" t="s">
        <v>717</v>
      </c>
      <c r="G963">
        <v>4</v>
      </c>
      <c r="H963">
        <v>500</v>
      </c>
      <c r="I963">
        <v>2000</v>
      </c>
      <c r="J963" t="s">
        <v>22</v>
      </c>
      <c r="K963" t="s">
        <v>1029</v>
      </c>
      <c r="L963" t="s">
        <v>1038</v>
      </c>
      <c r="M963" t="s">
        <v>1033</v>
      </c>
      <c r="N963">
        <v>7</v>
      </c>
      <c r="O963" t="s">
        <v>1046</v>
      </c>
    </row>
    <row r="964" spans="1:15" x14ac:dyDescent="0.25">
      <c r="A964">
        <v>461</v>
      </c>
      <c r="B964" s="6">
        <v>45010</v>
      </c>
      <c r="C964" s="5" t="s">
        <v>986</v>
      </c>
      <c r="D964" s="5" t="s">
        <v>1</v>
      </c>
      <c r="E964">
        <v>18</v>
      </c>
      <c r="F964" s="5" t="s">
        <v>717</v>
      </c>
      <c r="G964">
        <v>2</v>
      </c>
      <c r="H964">
        <v>500</v>
      </c>
      <c r="I964">
        <v>1000</v>
      </c>
      <c r="J964" t="s">
        <v>22</v>
      </c>
      <c r="K964" t="s">
        <v>1029</v>
      </c>
      <c r="L964" t="s">
        <v>1038</v>
      </c>
      <c r="M964" t="s">
        <v>1039</v>
      </c>
      <c r="N964">
        <v>3</v>
      </c>
      <c r="O964" t="s">
        <v>1040</v>
      </c>
    </row>
    <row r="965" spans="1:15" x14ac:dyDescent="0.25">
      <c r="A965">
        <v>463</v>
      </c>
      <c r="B965" s="6">
        <v>45138</v>
      </c>
      <c r="C965" s="5" t="s">
        <v>987</v>
      </c>
      <c r="D965" s="5" t="s">
        <v>1</v>
      </c>
      <c r="E965">
        <v>54</v>
      </c>
      <c r="F965" s="5" t="s">
        <v>717</v>
      </c>
      <c r="G965">
        <v>3</v>
      </c>
      <c r="H965">
        <v>500</v>
      </c>
      <c r="I965">
        <v>1500</v>
      </c>
      <c r="J965" t="s">
        <v>20</v>
      </c>
      <c r="K965" t="s">
        <v>1028</v>
      </c>
      <c r="L965" t="s">
        <v>1038</v>
      </c>
      <c r="M965" t="s">
        <v>1033</v>
      </c>
      <c r="N965">
        <v>7</v>
      </c>
      <c r="O965" t="s">
        <v>1046</v>
      </c>
    </row>
    <row r="966" spans="1:15" x14ac:dyDescent="0.25">
      <c r="A966">
        <v>480</v>
      </c>
      <c r="B966" s="6">
        <v>45106</v>
      </c>
      <c r="C966" s="5" t="s">
        <v>988</v>
      </c>
      <c r="D966" s="5" t="s">
        <v>1</v>
      </c>
      <c r="E966">
        <v>42</v>
      </c>
      <c r="F966" s="5" t="s">
        <v>717</v>
      </c>
      <c r="G966">
        <v>4</v>
      </c>
      <c r="H966">
        <v>500</v>
      </c>
      <c r="I966">
        <v>2000</v>
      </c>
      <c r="J966" t="s">
        <v>20</v>
      </c>
      <c r="K966" t="s">
        <v>1028</v>
      </c>
      <c r="L966" t="s">
        <v>1038</v>
      </c>
      <c r="M966" t="s">
        <v>1041</v>
      </c>
      <c r="N966">
        <v>6</v>
      </c>
      <c r="O966" t="s">
        <v>1050</v>
      </c>
    </row>
    <row r="967" spans="1:15" x14ac:dyDescent="0.25">
      <c r="A967">
        <v>503</v>
      </c>
      <c r="B967" s="6">
        <v>45224</v>
      </c>
      <c r="C967" s="5" t="s">
        <v>989</v>
      </c>
      <c r="D967" s="5" t="s">
        <v>2</v>
      </c>
      <c r="E967">
        <v>45</v>
      </c>
      <c r="F967" s="5" t="s">
        <v>717</v>
      </c>
      <c r="G967">
        <v>4</v>
      </c>
      <c r="H967">
        <v>500</v>
      </c>
      <c r="I967">
        <v>2000</v>
      </c>
      <c r="J967" t="s">
        <v>20</v>
      </c>
      <c r="K967" t="s">
        <v>1028</v>
      </c>
      <c r="L967" t="s">
        <v>1038</v>
      </c>
      <c r="M967" t="s">
        <v>1047</v>
      </c>
      <c r="N967">
        <v>10</v>
      </c>
      <c r="O967" t="s">
        <v>1049</v>
      </c>
    </row>
    <row r="968" spans="1:15" x14ac:dyDescent="0.25">
      <c r="A968">
        <v>506</v>
      </c>
      <c r="B968" s="6">
        <v>44982</v>
      </c>
      <c r="C968" s="5" t="s">
        <v>990</v>
      </c>
      <c r="D968" s="5" t="s">
        <v>2</v>
      </c>
      <c r="E968">
        <v>34</v>
      </c>
      <c r="F968" s="5" t="s">
        <v>717</v>
      </c>
      <c r="G968">
        <v>3</v>
      </c>
      <c r="H968">
        <v>500</v>
      </c>
      <c r="I968">
        <v>1500</v>
      </c>
      <c r="J968" t="s">
        <v>20</v>
      </c>
      <c r="K968" t="s">
        <v>1028</v>
      </c>
      <c r="L968" t="s">
        <v>1038</v>
      </c>
      <c r="M968" t="s">
        <v>1039</v>
      </c>
      <c r="N968">
        <v>2</v>
      </c>
      <c r="O968" t="s">
        <v>1044</v>
      </c>
    </row>
    <row r="969" spans="1:15" x14ac:dyDescent="0.25">
      <c r="A969">
        <v>522</v>
      </c>
      <c r="B969" s="6">
        <v>44927</v>
      </c>
      <c r="C969" s="5" t="s">
        <v>991</v>
      </c>
      <c r="D969" s="5" t="s">
        <v>2</v>
      </c>
      <c r="E969">
        <v>46</v>
      </c>
      <c r="F969" s="5" t="s">
        <v>717</v>
      </c>
      <c r="G969">
        <v>3</v>
      </c>
      <c r="H969">
        <v>500</v>
      </c>
      <c r="I969">
        <v>1500</v>
      </c>
      <c r="J969" t="s">
        <v>20</v>
      </c>
      <c r="K969" t="s">
        <v>1028</v>
      </c>
      <c r="L969" t="s">
        <v>1038</v>
      </c>
      <c r="M969" t="s">
        <v>1039</v>
      </c>
      <c r="N969">
        <v>1</v>
      </c>
      <c r="O969" t="s">
        <v>1045</v>
      </c>
    </row>
    <row r="970" spans="1:15" x14ac:dyDescent="0.25">
      <c r="A970">
        <v>537</v>
      </c>
      <c r="B970" s="6">
        <v>45080</v>
      </c>
      <c r="C970" s="5" t="s">
        <v>992</v>
      </c>
      <c r="D970" s="5" t="s">
        <v>1</v>
      </c>
      <c r="E970">
        <v>21</v>
      </c>
      <c r="F970" s="5" t="s">
        <v>717</v>
      </c>
      <c r="G970">
        <v>1</v>
      </c>
      <c r="H970">
        <v>500</v>
      </c>
      <c r="I970">
        <v>500</v>
      </c>
      <c r="J970" t="s">
        <v>22</v>
      </c>
      <c r="K970" t="s">
        <v>1029</v>
      </c>
      <c r="L970" t="s">
        <v>1038</v>
      </c>
      <c r="M970" t="s">
        <v>1041</v>
      </c>
      <c r="N970">
        <v>6</v>
      </c>
      <c r="O970" t="s">
        <v>1050</v>
      </c>
    </row>
    <row r="971" spans="1:15" x14ac:dyDescent="0.25">
      <c r="A971">
        <v>539</v>
      </c>
      <c r="B971" s="6">
        <v>45085</v>
      </c>
      <c r="C971" s="5" t="s">
        <v>993</v>
      </c>
      <c r="D971" s="5" t="s">
        <v>2</v>
      </c>
      <c r="E971">
        <v>25</v>
      </c>
      <c r="F971" s="5" t="s">
        <v>717</v>
      </c>
      <c r="G971">
        <v>1</v>
      </c>
      <c r="H971">
        <v>500</v>
      </c>
      <c r="I971">
        <v>500</v>
      </c>
      <c r="J971" t="s">
        <v>22</v>
      </c>
      <c r="K971" t="s">
        <v>1029</v>
      </c>
      <c r="L971" t="s">
        <v>1038</v>
      </c>
      <c r="M971" t="s">
        <v>1041</v>
      </c>
      <c r="N971">
        <v>6</v>
      </c>
      <c r="O971" t="s">
        <v>1050</v>
      </c>
    </row>
    <row r="972" spans="1:15" x14ac:dyDescent="0.25">
      <c r="A972">
        <v>541</v>
      </c>
      <c r="B972" s="6">
        <v>45136</v>
      </c>
      <c r="C972" s="5" t="s">
        <v>994</v>
      </c>
      <c r="D972" s="5" t="s">
        <v>2</v>
      </c>
      <c r="E972">
        <v>56</v>
      </c>
      <c r="F972" s="5" t="s">
        <v>717</v>
      </c>
      <c r="G972">
        <v>1</v>
      </c>
      <c r="H972">
        <v>500</v>
      </c>
      <c r="I972">
        <v>500</v>
      </c>
      <c r="J972" t="s">
        <v>24</v>
      </c>
      <c r="K972" t="s">
        <v>1030</v>
      </c>
      <c r="L972" t="s">
        <v>1038</v>
      </c>
      <c r="M972" t="s">
        <v>1033</v>
      </c>
      <c r="N972">
        <v>7</v>
      </c>
      <c r="O972" t="s">
        <v>1046</v>
      </c>
    </row>
    <row r="973" spans="1:15" x14ac:dyDescent="0.25">
      <c r="A973">
        <v>577</v>
      </c>
      <c r="B973" s="6">
        <v>44970</v>
      </c>
      <c r="C973" s="5" t="s">
        <v>995</v>
      </c>
      <c r="D973" s="5" t="s">
        <v>2</v>
      </c>
      <c r="E973">
        <v>21</v>
      </c>
      <c r="F973" s="5" t="s">
        <v>717</v>
      </c>
      <c r="G973">
        <v>4</v>
      </c>
      <c r="H973">
        <v>500</v>
      </c>
      <c r="I973">
        <v>2000</v>
      </c>
      <c r="J973" t="s">
        <v>22</v>
      </c>
      <c r="K973" t="s">
        <v>1029</v>
      </c>
      <c r="L973" t="s">
        <v>1038</v>
      </c>
      <c r="M973" t="s">
        <v>1039</v>
      </c>
      <c r="N973">
        <v>2</v>
      </c>
      <c r="O973" t="s">
        <v>1044</v>
      </c>
    </row>
    <row r="974" spans="1:15" x14ac:dyDescent="0.25">
      <c r="A974">
        <v>589</v>
      </c>
      <c r="B974" s="6">
        <v>45028</v>
      </c>
      <c r="C974" s="5" t="s">
        <v>996</v>
      </c>
      <c r="D974" s="5" t="s">
        <v>1</v>
      </c>
      <c r="E974">
        <v>36</v>
      </c>
      <c r="F974" s="5" t="s">
        <v>717</v>
      </c>
      <c r="G974">
        <v>2</v>
      </c>
      <c r="H974">
        <v>500</v>
      </c>
      <c r="I974">
        <v>1000</v>
      </c>
      <c r="J974" t="s">
        <v>20</v>
      </c>
      <c r="K974" t="s">
        <v>1028</v>
      </c>
      <c r="L974" t="s">
        <v>1038</v>
      </c>
      <c r="M974" t="s">
        <v>1041</v>
      </c>
      <c r="N974">
        <v>4</v>
      </c>
      <c r="O974" t="s">
        <v>1042</v>
      </c>
    </row>
    <row r="975" spans="1:15" x14ac:dyDescent="0.25">
      <c r="A975">
        <v>592</v>
      </c>
      <c r="B975" s="6">
        <v>44950</v>
      </c>
      <c r="C975" s="5" t="s">
        <v>997</v>
      </c>
      <c r="D975" s="5" t="s">
        <v>1</v>
      </c>
      <c r="E975">
        <v>46</v>
      </c>
      <c r="F975" s="5" t="s">
        <v>717</v>
      </c>
      <c r="G975">
        <v>4</v>
      </c>
      <c r="H975">
        <v>500</v>
      </c>
      <c r="I975">
        <v>2000</v>
      </c>
      <c r="J975" t="s">
        <v>20</v>
      </c>
      <c r="K975" t="s">
        <v>1028</v>
      </c>
      <c r="L975" t="s">
        <v>1038</v>
      </c>
      <c r="M975" t="s">
        <v>1039</v>
      </c>
      <c r="N975">
        <v>1</v>
      </c>
      <c r="O975" t="s">
        <v>1045</v>
      </c>
    </row>
    <row r="976" spans="1:15" x14ac:dyDescent="0.25">
      <c r="A976">
        <v>600</v>
      </c>
      <c r="B976" s="6">
        <v>45221</v>
      </c>
      <c r="C976" s="5" t="s">
        <v>998</v>
      </c>
      <c r="D976" s="5" t="s">
        <v>1</v>
      </c>
      <c r="E976">
        <v>59</v>
      </c>
      <c r="F976" s="5" t="s">
        <v>717</v>
      </c>
      <c r="G976">
        <v>2</v>
      </c>
      <c r="H976">
        <v>500</v>
      </c>
      <c r="I976">
        <v>1000</v>
      </c>
      <c r="J976" t="s">
        <v>24</v>
      </c>
      <c r="K976" t="s">
        <v>1030</v>
      </c>
      <c r="L976" t="s">
        <v>1038</v>
      </c>
      <c r="M976" t="s">
        <v>1047</v>
      </c>
      <c r="N976">
        <v>10</v>
      </c>
      <c r="O976" t="s">
        <v>1049</v>
      </c>
    </row>
    <row r="977" spans="1:15" x14ac:dyDescent="0.25">
      <c r="A977">
        <v>611</v>
      </c>
      <c r="B977" s="6">
        <v>44981</v>
      </c>
      <c r="C977" s="5" t="s">
        <v>999</v>
      </c>
      <c r="D977" s="5" t="s">
        <v>2</v>
      </c>
      <c r="E977">
        <v>51</v>
      </c>
      <c r="F977" s="5" t="s">
        <v>717</v>
      </c>
      <c r="G977">
        <v>3</v>
      </c>
      <c r="H977">
        <v>500</v>
      </c>
      <c r="I977">
        <v>1500</v>
      </c>
      <c r="J977" t="s">
        <v>20</v>
      </c>
      <c r="K977" t="s">
        <v>1028</v>
      </c>
      <c r="L977" t="s">
        <v>1038</v>
      </c>
      <c r="M977" t="s">
        <v>1039</v>
      </c>
      <c r="N977">
        <v>2</v>
      </c>
      <c r="O977" t="s">
        <v>1044</v>
      </c>
    </row>
    <row r="978" spans="1:15" x14ac:dyDescent="0.25">
      <c r="A978">
        <v>621</v>
      </c>
      <c r="B978" s="6">
        <v>44989</v>
      </c>
      <c r="C978" s="5" t="s">
        <v>1000</v>
      </c>
      <c r="D978" s="5" t="s">
        <v>1</v>
      </c>
      <c r="E978">
        <v>40</v>
      </c>
      <c r="F978" s="5" t="s">
        <v>717</v>
      </c>
      <c r="G978">
        <v>2</v>
      </c>
      <c r="H978">
        <v>500</v>
      </c>
      <c r="I978">
        <v>1000</v>
      </c>
      <c r="J978" t="s">
        <v>20</v>
      </c>
      <c r="K978" t="s">
        <v>1028</v>
      </c>
      <c r="L978" t="s">
        <v>1038</v>
      </c>
      <c r="M978" t="s">
        <v>1039</v>
      </c>
      <c r="N978">
        <v>3</v>
      </c>
      <c r="O978" t="s">
        <v>1040</v>
      </c>
    </row>
    <row r="979" spans="1:15" x14ac:dyDescent="0.25">
      <c r="A979">
        <v>636</v>
      </c>
      <c r="B979" s="6">
        <v>45008</v>
      </c>
      <c r="C979" s="5" t="s">
        <v>1001</v>
      </c>
      <c r="D979" s="5" t="s">
        <v>1</v>
      </c>
      <c r="E979">
        <v>21</v>
      </c>
      <c r="F979" s="5" t="s">
        <v>717</v>
      </c>
      <c r="G979">
        <v>3</v>
      </c>
      <c r="H979">
        <v>500</v>
      </c>
      <c r="I979">
        <v>1500</v>
      </c>
      <c r="J979" t="s">
        <v>22</v>
      </c>
      <c r="K979" t="s">
        <v>1029</v>
      </c>
      <c r="L979" t="s">
        <v>1038</v>
      </c>
      <c r="M979" t="s">
        <v>1039</v>
      </c>
      <c r="N979">
        <v>3</v>
      </c>
      <c r="O979" t="s">
        <v>1040</v>
      </c>
    </row>
    <row r="980" spans="1:15" x14ac:dyDescent="0.25">
      <c r="A980">
        <v>660</v>
      </c>
      <c r="B980" s="6">
        <v>45045</v>
      </c>
      <c r="C980" s="5" t="s">
        <v>1002</v>
      </c>
      <c r="D980" s="5" t="s">
        <v>1</v>
      </c>
      <c r="E980">
        <v>38</v>
      </c>
      <c r="F980" s="5" t="s">
        <v>717</v>
      </c>
      <c r="G980">
        <v>2</v>
      </c>
      <c r="H980">
        <v>500</v>
      </c>
      <c r="I980">
        <v>1000</v>
      </c>
      <c r="J980" t="s">
        <v>20</v>
      </c>
      <c r="K980" t="s">
        <v>1028</v>
      </c>
      <c r="L980" t="s">
        <v>1038</v>
      </c>
      <c r="M980" t="s">
        <v>1041</v>
      </c>
      <c r="N980">
        <v>4</v>
      </c>
      <c r="O980" t="s">
        <v>1042</v>
      </c>
    </row>
    <row r="981" spans="1:15" x14ac:dyDescent="0.25">
      <c r="A981">
        <v>662</v>
      </c>
      <c r="B981" s="6">
        <v>45282</v>
      </c>
      <c r="C981" s="5" t="s">
        <v>1003</v>
      </c>
      <c r="D981" s="5" t="s">
        <v>2</v>
      </c>
      <c r="E981">
        <v>48</v>
      </c>
      <c r="F981" s="5" t="s">
        <v>717</v>
      </c>
      <c r="G981">
        <v>2</v>
      </c>
      <c r="H981">
        <v>500</v>
      </c>
      <c r="I981">
        <v>1000</v>
      </c>
      <c r="J981" t="s">
        <v>20</v>
      </c>
      <c r="K981" t="s">
        <v>1028</v>
      </c>
      <c r="L981" t="s">
        <v>1038</v>
      </c>
      <c r="M981" t="s">
        <v>1047</v>
      </c>
      <c r="N981">
        <v>12</v>
      </c>
      <c r="O981" t="s">
        <v>1052</v>
      </c>
    </row>
    <row r="982" spans="1:15" x14ac:dyDescent="0.25">
      <c r="A982">
        <v>677</v>
      </c>
      <c r="B982" s="6">
        <v>45226</v>
      </c>
      <c r="C982" s="5" t="s">
        <v>1004</v>
      </c>
      <c r="D982" s="5" t="s">
        <v>1</v>
      </c>
      <c r="E982">
        <v>19</v>
      </c>
      <c r="F982" s="5" t="s">
        <v>717</v>
      </c>
      <c r="G982">
        <v>3</v>
      </c>
      <c r="H982">
        <v>500</v>
      </c>
      <c r="I982">
        <v>1500</v>
      </c>
      <c r="J982" t="s">
        <v>22</v>
      </c>
      <c r="K982" t="s">
        <v>1029</v>
      </c>
      <c r="L982" t="s">
        <v>1038</v>
      </c>
      <c r="M982" t="s">
        <v>1047</v>
      </c>
      <c r="N982">
        <v>10</v>
      </c>
      <c r="O982" t="s">
        <v>1049</v>
      </c>
    </row>
    <row r="983" spans="1:15" x14ac:dyDescent="0.25">
      <c r="A983">
        <v>683</v>
      </c>
      <c r="B983" s="6">
        <v>44930</v>
      </c>
      <c r="C983" s="5" t="s">
        <v>1005</v>
      </c>
      <c r="D983" s="5" t="s">
        <v>2</v>
      </c>
      <c r="E983">
        <v>38</v>
      </c>
      <c r="F983" s="5" t="s">
        <v>717</v>
      </c>
      <c r="G983">
        <v>2</v>
      </c>
      <c r="H983">
        <v>500</v>
      </c>
      <c r="I983">
        <v>1000</v>
      </c>
      <c r="J983" t="s">
        <v>20</v>
      </c>
      <c r="K983" t="s">
        <v>1028</v>
      </c>
      <c r="L983" t="s">
        <v>1038</v>
      </c>
      <c r="M983" t="s">
        <v>1039</v>
      </c>
      <c r="N983">
        <v>1</v>
      </c>
      <c r="O983" t="s">
        <v>1045</v>
      </c>
    </row>
    <row r="984" spans="1:15" x14ac:dyDescent="0.25">
      <c r="A984">
        <v>693</v>
      </c>
      <c r="B984" s="6">
        <v>45039</v>
      </c>
      <c r="C984" s="5" t="s">
        <v>1006</v>
      </c>
      <c r="D984" s="5" t="s">
        <v>2</v>
      </c>
      <c r="E984">
        <v>41</v>
      </c>
      <c r="F984" s="5" t="s">
        <v>717</v>
      </c>
      <c r="G984">
        <v>3</v>
      </c>
      <c r="H984">
        <v>500</v>
      </c>
      <c r="I984">
        <v>1500</v>
      </c>
      <c r="J984" t="s">
        <v>20</v>
      </c>
      <c r="K984" t="s">
        <v>1028</v>
      </c>
      <c r="L984" t="s">
        <v>1038</v>
      </c>
      <c r="M984" t="s">
        <v>1041</v>
      </c>
      <c r="N984">
        <v>4</v>
      </c>
      <c r="O984" t="s">
        <v>1042</v>
      </c>
    </row>
    <row r="985" spans="1:15" x14ac:dyDescent="0.25">
      <c r="A985">
        <v>720</v>
      </c>
      <c r="B985" s="6">
        <v>44952</v>
      </c>
      <c r="C985" s="5" t="s">
        <v>1007</v>
      </c>
      <c r="D985" s="5" t="s">
        <v>1</v>
      </c>
      <c r="E985">
        <v>56</v>
      </c>
      <c r="F985" s="5" t="s">
        <v>717</v>
      </c>
      <c r="G985">
        <v>3</v>
      </c>
      <c r="H985">
        <v>500</v>
      </c>
      <c r="I985">
        <v>1500</v>
      </c>
      <c r="J985" t="s">
        <v>24</v>
      </c>
      <c r="K985" t="s">
        <v>1030</v>
      </c>
      <c r="L985" t="s">
        <v>1038</v>
      </c>
      <c r="M985" t="s">
        <v>1039</v>
      </c>
      <c r="N985">
        <v>1</v>
      </c>
      <c r="O985" t="s">
        <v>1045</v>
      </c>
    </row>
    <row r="986" spans="1:15" x14ac:dyDescent="0.25">
      <c r="A986">
        <v>743</v>
      </c>
      <c r="B986" s="6">
        <v>44942</v>
      </c>
      <c r="C986" s="5" t="s">
        <v>1008</v>
      </c>
      <c r="D986" s="5" t="s">
        <v>1</v>
      </c>
      <c r="E986">
        <v>34</v>
      </c>
      <c r="F986" s="5" t="s">
        <v>717</v>
      </c>
      <c r="G986">
        <v>4</v>
      </c>
      <c r="H986">
        <v>500</v>
      </c>
      <c r="I986">
        <v>2000</v>
      </c>
      <c r="J986" t="s">
        <v>20</v>
      </c>
      <c r="K986" t="s">
        <v>1028</v>
      </c>
      <c r="L986" t="s">
        <v>1038</v>
      </c>
      <c r="M986" t="s">
        <v>1039</v>
      </c>
      <c r="N986">
        <v>1</v>
      </c>
      <c r="O986" t="s">
        <v>1045</v>
      </c>
    </row>
    <row r="987" spans="1:15" x14ac:dyDescent="0.25">
      <c r="A987">
        <v>760</v>
      </c>
      <c r="B987" s="6">
        <v>45012</v>
      </c>
      <c r="C987" s="5" t="s">
        <v>1009</v>
      </c>
      <c r="D987" s="5" t="s">
        <v>2</v>
      </c>
      <c r="E987">
        <v>27</v>
      </c>
      <c r="F987" s="5" t="s">
        <v>717</v>
      </c>
      <c r="G987">
        <v>1</v>
      </c>
      <c r="H987">
        <v>500</v>
      </c>
      <c r="I987">
        <v>500</v>
      </c>
      <c r="J987" t="s">
        <v>22</v>
      </c>
      <c r="K987" t="s">
        <v>1029</v>
      </c>
      <c r="L987" t="s">
        <v>1038</v>
      </c>
      <c r="M987" t="s">
        <v>1039</v>
      </c>
      <c r="N987">
        <v>3</v>
      </c>
      <c r="O987" t="s">
        <v>1040</v>
      </c>
    </row>
    <row r="988" spans="1:15" x14ac:dyDescent="0.25">
      <c r="A988">
        <v>781</v>
      </c>
      <c r="B988" s="6">
        <v>45283</v>
      </c>
      <c r="C988" s="5" t="s">
        <v>1010</v>
      </c>
      <c r="D988" s="5" t="s">
        <v>2</v>
      </c>
      <c r="E988">
        <v>35</v>
      </c>
      <c r="F988" s="5" t="s">
        <v>717</v>
      </c>
      <c r="G988">
        <v>1</v>
      </c>
      <c r="H988">
        <v>500</v>
      </c>
      <c r="I988">
        <v>500</v>
      </c>
      <c r="J988" t="s">
        <v>20</v>
      </c>
      <c r="K988" t="s">
        <v>1028</v>
      </c>
      <c r="L988" t="s">
        <v>1038</v>
      </c>
      <c r="M988" t="s">
        <v>1047</v>
      </c>
      <c r="N988">
        <v>12</v>
      </c>
      <c r="O988" t="s">
        <v>1052</v>
      </c>
    </row>
    <row r="989" spans="1:15" x14ac:dyDescent="0.25">
      <c r="A989">
        <v>805</v>
      </c>
      <c r="B989" s="6">
        <v>45289</v>
      </c>
      <c r="C989" s="5" t="s">
        <v>1011</v>
      </c>
      <c r="D989" s="5" t="s">
        <v>1</v>
      </c>
      <c r="E989">
        <v>30</v>
      </c>
      <c r="F989" s="5" t="s">
        <v>717</v>
      </c>
      <c r="G989">
        <v>3</v>
      </c>
      <c r="H989">
        <v>500</v>
      </c>
      <c r="I989">
        <v>1500</v>
      </c>
      <c r="J989" t="s">
        <v>20</v>
      </c>
      <c r="K989" t="s">
        <v>1028</v>
      </c>
      <c r="L989" t="s">
        <v>1038</v>
      </c>
      <c r="M989" t="s">
        <v>1047</v>
      </c>
      <c r="N989">
        <v>12</v>
      </c>
      <c r="O989" t="s">
        <v>1052</v>
      </c>
    </row>
    <row r="990" spans="1:15" x14ac:dyDescent="0.25">
      <c r="A990">
        <v>808</v>
      </c>
      <c r="B990" s="6">
        <v>45017</v>
      </c>
      <c r="C990" s="5" t="s">
        <v>1012</v>
      </c>
      <c r="D990" s="5" t="s">
        <v>2</v>
      </c>
      <c r="E990">
        <v>33</v>
      </c>
      <c r="F990" s="5" t="s">
        <v>717</v>
      </c>
      <c r="G990">
        <v>4</v>
      </c>
      <c r="H990">
        <v>500</v>
      </c>
      <c r="I990">
        <v>2000</v>
      </c>
      <c r="J990" t="s">
        <v>20</v>
      </c>
      <c r="K990" t="s">
        <v>1028</v>
      </c>
      <c r="L990" t="s">
        <v>1038</v>
      </c>
      <c r="M990" t="s">
        <v>1041</v>
      </c>
      <c r="N990">
        <v>4</v>
      </c>
      <c r="O990" t="s">
        <v>1042</v>
      </c>
    </row>
    <row r="991" spans="1:15" x14ac:dyDescent="0.25">
      <c r="A991">
        <v>816</v>
      </c>
      <c r="B991" s="6">
        <v>45150</v>
      </c>
      <c r="C991" s="5" t="s">
        <v>1013</v>
      </c>
      <c r="D991" s="5" t="s">
        <v>2</v>
      </c>
      <c r="E991">
        <v>47</v>
      </c>
      <c r="F991" s="5" t="s">
        <v>717</v>
      </c>
      <c r="G991">
        <v>2</v>
      </c>
      <c r="H991">
        <v>500</v>
      </c>
      <c r="I991">
        <v>1000</v>
      </c>
      <c r="J991" t="s">
        <v>20</v>
      </c>
      <c r="K991" t="s">
        <v>1028</v>
      </c>
      <c r="L991" t="s">
        <v>1038</v>
      </c>
      <c r="M991" t="s">
        <v>1033</v>
      </c>
      <c r="N991">
        <v>8</v>
      </c>
      <c r="O991" t="s">
        <v>1051</v>
      </c>
    </row>
    <row r="992" spans="1:15" x14ac:dyDescent="0.25">
      <c r="A992">
        <v>832</v>
      </c>
      <c r="B992" s="6">
        <v>45180</v>
      </c>
      <c r="C992" s="5" t="s">
        <v>1014</v>
      </c>
      <c r="D992" s="5" t="s">
        <v>2</v>
      </c>
      <c r="E992">
        <v>47</v>
      </c>
      <c r="F992" s="5" t="s">
        <v>717</v>
      </c>
      <c r="G992">
        <v>4</v>
      </c>
      <c r="H992">
        <v>500</v>
      </c>
      <c r="I992">
        <v>2000</v>
      </c>
      <c r="J992" t="s">
        <v>20</v>
      </c>
      <c r="K992" t="s">
        <v>1028</v>
      </c>
      <c r="L992" t="s">
        <v>1038</v>
      </c>
      <c r="M992" t="s">
        <v>1033</v>
      </c>
      <c r="N992">
        <v>9</v>
      </c>
      <c r="O992" t="s">
        <v>1043</v>
      </c>
    </row>
    <row r="993" spans="1:15" x14ac:dyDescent="0.25">
      <c r="A993">
        <v>843</v>
      </c>
      <c r="B993" s="6">
        <v>45068</v>
      </c>
      <c r="C993" s="5" t="s">
        <v>1015</v>
      </c>
      <c r="D993" s="5" t="s">
        <v>2</v>
      </c>
      <c r="E993">
        <v>21</v>
      </c>
      <c r="F993" s="5" t="s">
        <v>717</v>
      </c>
      <c r="G993">
        <v>3</v>
      </c>
      <c r="H993">
        <v>500</v>
      </c>
      <c r="I993">
        <v>1500</v>
      </c>
      <c r="J993" t="s">
        <v>22</v>
      </c>
      <c r="K993" t="s">
        <v>1029</v>
      </c>
      <c r="L993" t="s">
        <v>1038</v>
      </c>
      <c r="M993" t="s">
        <v>1041</v>
      </c>
      <c r="N993">
        <v>5</v>
      </c>
      <c r="O993" t="s">
        <v>1032</v>
      </c>
    </row>
    <row r="994" spans="1:15" x14ac:dyDescent="0.25">
      <c r="A994">
        <v>850</v>
      </c>
      <c r="B994" s="6">
        <v>45135</v>
      </c>
      <c r="C994" s="5" t="s">
        <v>1016</v>
      </c>
      <c r="D994" s="5" t="s">
        <v>1</v>
      </c>
      <c r="E994">
        <v>26</v>
      </c>
      <c r="F994" s="5" t="s">
        <v>717</v>
      </c>
      <c r="G994">
        <v>2</v>
      </c>
      <c r="H994">
        <v>500</v>
      </c>
      <c r="I994">
        <v>1000</v>
      </c>
      <c r="J994" t="s">
        <v>22</v>
      </c>
      <c r="K994" t="s">
        <v>1029</v>
      </c>
      <c r="L994" t="s">
        <v>1038</v>
      </c>
      <c r="M994" t="s">
        <v>1033</v>
      </c>
      <c r="N994">
        <v>7</v>
      </c>
      <c r="O994" t="s">
        <v>1046</v>
      </c>
    </row>
    <row r="995" spans="1:15" x14ac:dyDescent="0.25">
      <c r="A995">
        <v>853</v>
      </c>
      <c r="B995" s="6">
        <v>45050</v>
      </c>
      <c r="C995" s="5" t="s">
        <v>1017</v>
      </c>
      <c r="D995" s="5" t="s">
        <v>2</v>
      </c>
      <c r="E995">
        <v>21</v>
      </c>
      <c r="F995" s="5" t="s">
        <v>717</v>
      </c>
      <c r="G995">
        <v>2</v>
      </c>
      <c r="H995">
        <v>500</v>
      </c>
      <c r="I995">
        <v>1000</v>
      </c>
      <c r="J995" t="s">
        <v>22</v>
      </c>
      <c r="K995" t="s">
        <v>1029</v>
      </c>
      <c r="L995" t="s">
        <v>1038</v>
      </c>
      <c r="M995" t="s">
        <v>1041</v>
      </c>
      <c r="N995">
        <v>5</v>
      </c>
      <c r="O995" t="s">
        <v>1032</v>
      </c>
    </row>
    <row r="996" spans="1:15" x14ac:dyDescent="0.25">
      <c r="A996">
        <v>869</v>
      </c>
      <c r="B996" s="6">
        <v>45224</v>
      </c>
      <c r="C996" s="5" t="s">
        <v>1018</v>
      </c>
      <c r="D996" s="5" t="s">
        <v>2</v>
      </c>
      <c r="E996">
        <v>37</v>
      </c>
      <c r="F996" s="5" t="s">
        <v>717</v>
      </c>
      <c r="G996">
        <v>3</v>
      </c>
      <c r="H996">
        <v>500</v>
      </c>
      <c r="I996">
        <v>1500</v>
      </c>
      <c r="J996" t="s">
        <v>20</v>
      </c>
      <c r="K996" t="s">
        <v>1028</v>
      </c>
      <c r="L996" t="s">
        <v>1038</v>
      </c>
      <c r="M996" t="s">
        <v>1047</v>
      </c>
      <c r="N996">
        <v>10</v>
      </c>
      <c r="O996" t="s">
        <v>1049</v>
      </c>
    </row>
    <row r="997" spans="1:15" x14ac:dyDescent="0.25">
      <c r="A997">
        <v>880</v>
      </c>
      <c r="B997" s="6">
        <v>45159</v>
      </c>
      <c r="C997" s="5" t="s">
        <v>1019</v>
      </c>
      <c r="D997" s="5" t="s">
        <v>2</v>
      </c>
      <c r="E997">
        <v>22</v>
      </c>
      <c r="F997" s="5" t="s">
        <v>717</v>
      </c>
      <c r="G997">
        <v>2</v>
      </c>
      <c r="H997">
        <v>500</v>
      </c>
      <c r="I997">
        <v>1000</v>
      </c>
      <c r="J997" t="s">
        <v>22</v>
      </c>
      <c r="K997" t="s">
        <v>1029</v>
      </c>
      <c r="L997" t="s">
        <v>1038</v>
      </c>
      <c r="M997" t="s">
        <v>1033</v>
      </c>
      <c r="N997">
        <v>8</v>
      </c>
      <c r="O997" t="s">
        <v>1051</v>
      </c>
    </row>
    <row r="998" spans="1:15" x14ac:dyDescent="0.25">
      <c r="A998">
        <v>934</v>
      </c>
      <c r="B998" s="6">
        <v>45132</v>
      </c>
      <c r="C998" s="5" t="s">
        <v>1020</v>
      </c>
      <c r="D998" s="5" t="s">
        <v>2</v>
      </c>
      <c r="E998">
        <v>30</v>
      </c>
      <c r="F998" s="5" t="s">
        <v>717</v>
      </c>
      <c r="G998">
        <v>1</v>
      </c>
      <c r="H998">
        <v>500</v>
      </c>
      <c r="I998">
        <v>500</v>
      </c>
      <c r="J998" t="s">
        <v>20</v>
      </c>
      <c r="K998" t="s">
        <v>1028</v>
      </c>
      <c r="L998" t="s">
        <v>1038</v>
      </c>
      <c r="M998" t="s">
        <v>1033</v>
      </c>
      <c r="N998">
        <v>7</v>
      </c>
      <c r="O998" t="s">
        <v>1046</v>
      </c>
    </row>
    <row r="999" spans="1:15" x14ac:dyDescent="0.25">
      <c r="A999">
        <v>937</v>
      </c>
      <c r="B999" s="6">
        <v>45222</v>
      </c>
      <c r="C999" s="5" t="s">
        <v>1021</v>
      </c>
      <c r="D999" s="5" t="s">
        <v>1</v>
      </c>
      <c r="E999">
        <v>62</v>
      </c>
      <c r="F999" s="5" t="s">
        <v>717</v>
      </c>
      <c r="G999">
        <v>1</v>
      </c>
      <c r="H999">
        <v>500</v>
      </c>
      <c r="I999">
        <v>500</v>
      </c>
      <c r="J999" t="s">
        <v>24</v>
      </c>
      <c r="K999" t="s">
        <v>1030</v>
      </c>
      <c r="L999" t="s">
        <v>1038</v>
      </c>
      <c r="M999" t="s">
        <v>1047</v>
      </c>
      <c r="N999">
        <v>10</v>
      </c>
      <c r="O999" t="s">
        <v>1049</v>
      </c>
    </row>
    <row r="1000" spans="1:15" x14ac:dyDescent="0.25">
      <c r="A1000">
        <v>990</v>
      </c>
      <c r="B1000" s="6">
        <v>45071</v>
      </c>
      <c r="C1000" s="5" t="s">
        <v>1022</v>
      </c>
      <c r="D1000" s="5" t="s">
        <v>1</v>
      </c>
      <c r="E1000">
        <v>58</v>
      </c>
      <c r="F1000" s="5" t="s">
        <v>717</v>
      </c>
      <c r="G1000">
        <v>2</v>
      </c>
      <c r="H1000">
        <v>500</v>
      </c>
      <c r="I1000">
        <v>1000</v>
      </c>
      <c r="J1000" t="s">
        <v>24</v>
      </c>
      <c r="K1000" t="s">
        <v>1030</v>
      </c>
      <c r="L1000" t="s">
        <v>1038</v>
      </c>
      <c r="M1000" t="s">
        <v>1041</v>
      </c>
      <c r="N1000">
        <v>5</v>
      </c>
      <c r="O1000" t="s">
        <v>1032</v>
      </c>
    </row>
    <row r="1001" spans="1:15" x14ac:dyDescent="0.25">
      <c r="A1001">
        <v>994</v>
      </c>
      <c r="B1001" s="6">
        <v>45278</v>
      </c>
      <c r="C1001" s="5" t="s">
        <v>1023</v>
      </c>
      <c r="D1001" s="5" t="s">
        <v>1</v>
      </c>
      <c r="E1001">
        <v>51</v>
      </c>
      <c r="F1001" s="5" t="s">
        <v>717</v>
      </c>
      <c r="G1001">
        <v>2</v>
      </c>
      <c r="H1001">
        <v>500</v>
      </c>
      <c r="I1001">
        <v>1000</v>
      </c>
      <c r="J1001" t="s">
        <v>20</v>
      </c>
      <c r="K1001" t="s">
        <v>1028</v>
      </c>
      <c r="L1001" t="s">
        <v>1038</v>
      </c>
      <c r="M1001" t="s">
        <v>1047</v>
      </c>
      <c r="N1001">
        <v>12</v>
      </c>
      <c r="O1001" t="s">
        <v>1052</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213CE-E82F-4DB4-942C-B56F2BE7F419}">
  <dimension ref="A1:O1001"/>
  <sheetViews>
    <sheetView topLeftCell="A145" workbookViewId="0">
      <selection activeCell="J1" sqref="J1:J1048576"/>
    </sheetView>
  </sheetViews>
  <sheetFormatPr defaultRowHeight="15" x14ac:dyDescent="0.25"/>
  <cols>
    <col min="1" max="1" width="16.28515625" bestFit="1" customWidth="1"/>
    <col min="2" max="2" width="10.42578125" bestFit="1" customWidth="1"/>
    <col min="3" max="3" width="14.7109375" bestFit="1" customWidth="1"/>
    <col min="4" max="4" width="10" bestFit="1" customWidth="1"/>
    <col min="5" max="5" width="6.5703125" bestFit="1" customWidth="1"/>
    <col min="6" max="6" width="19" bestFit="1" customWidth="1"/>
    <col min="7" max="7" width="11" bestFit="1" customWidth="1"/>
    <col min="8" max="8" width="15.5703125" bestFit="1" customWidth="1"/>
    <col min="9" max="9" width="16.7109375" style="7" bestFit="1" customWidth="1"/>
    <col min="10" max="10" width="13.7109375" bestFit="1" customWidth="1"/>
    <col min="11" max="11" width="14.42578125" bestFit="1" customWidth="1"/>
    <col min="12" max="12" width="13.42578125" bestFit="1" customWidth="1"/>
    <col min="13" max="13" width="16.42578125" bestFit="1" customWidth="1"/>
    <col min="14" max="14" width="20.85546875" bestFit="1" customWidth="1"/>
    <col min="15" max="15" width="15.140625" bestFit="1" customWidth="1"/>
  </cols>
  <sheetData>
    <row r="1" spans="1:15" x14ac:dyDescent="0.25">
      <c r="A1" t="s">
        <v>4</v>
      </c>
      <c r="B1" t="s">
        <v>5</v>
      </c>
      <c r="C1" t="s">
        <v>6</v>
      </c>
      <c r="D1" t="s">
        <v>7</v>
      </c>
      <c r="E1" t="s">
        <v>8</v>
      </c>
      <c r="F1" t="s">
        <v>9</v>
      </c>
      <c r="G1" t="s">
        <v>10</v>
      </c>
      <c r="H1" t="s">
        <v>11</v>
      </c>
      <c r="I1" s="7" t="s">
        <v>12</v>
      </c>
      <c r="J1" t="s">
        <v>17</v>
      </c>
      <c r="K1" t="s">
        <v>1027</v>
      </c>
      <c r="L1" t="s">
        <v>1034</v>
      </c>
      <c r="M1" t="s">
        <v>1035</v>
      </c>
      <c r="N1" t="s">
        <v>1036</v>
      </c>
      <c r="O1" t="s">
        <v>1037</v>
      </c>
    </row>
    <row r="2" spans="1:15" x14ac:dyDescent="0.25">
      <c r="A2">
        <v>7</v>
      </c>
      <c r="B2" s="6">
        <v>44998</v>
      </c>
      <c r="C2" s="5" t="s">
        <v>18</v>
      </c>
      <c r="D2" s="5" t="s">
        <v>2</v>
      </c>
      <c r="E2">
        <v>46</v>
      </c>
      <c r="F2" s="5" t="s">
        <v>19</v>
      </c>
      <c r="G2">
        <v>2</v>
      </c>
      <c r="H2" s="11">
        <v>25</v>
      </c>
      <c r="I2" s="11">
        <v>50</v>
      </c>
      <c r="J2" t="s">
        <v>20</v>
      </c>
      <c r="K2" t="s">
        <v>1028</v>
      </c>
      <c r="L2" t="s">
        <v>1038</v>
      </c>
      <c r="M2" t="s">
        <v>1039</v>
      </c>
      <c r="N2">
        <v>3</v>
      </c>
      <c r="O2" t="s">
        <v>1040</v>
      </c>
    </row>
    <row r="3" spans="1:15" x14ac:dyDescent="0.25">
      <c r="A3">
        <v>17</v>
      </c>
      <c r="B3" s="6">
        <v>45038</v>
      </c>
      <c r="C3" s="5" t="s">
        <v>21</v>
      </c>
      <c r="D3" s="5" t="s">
        <v>1</v>
      </c>
      <c r="E3">
        <v>27</v>
      </c>
      <c r="F3" s="5" t="s">
        <v>19</v>
      </c>
      <c r="G3">
        <v>4</v>
      </c>
      <c r="H3" s="11">
        <v>25</v>
      </c>
      <c r="I3" s="11">
        <v>100</v>
      </c>
      <c r="J3" t="s">
        <v>22</v>
      </c>
      <c r="K3" t="s">
        <v>1029</v>
      </c>
      <c r="L3" t="s">
        <v>1038</v>
      </c>
      <c r="M3" t="s">
        <v>1041</v>
      </c>
      <c r="N3">
        <v>4</v>
      </c>
      <c r="O3" t="s">
        <v>1042</v>
      </c>
    </row>
    <row r="4" spans="1:15" x14ac:dyDescent="0.25">
      <c r="A4">
        <v>19</v>
      </c>
      <c r="B4" s="6">
        <v>45185</v>
      </c>
      <c r="C4" s="5" t="s">
        <v>23</v>
      </c>
      <c r="D4" s="5" t="s">
        <v>1</v>
      </c>
      <c r="E4">
        <v>62</v>
      </c>
      <c r="F4" s="5" t="s">
        <v>19</v>
      </c>
      <c r="G4">
        <v>2</v>
      </c>
      <c r="H4" s="11">
        <v>25</v>
      </c>
      <c r="I4" s="11">
        <v>50</v>
      </c>
      <c r="J4" t="s">
        <v>24</v>
      </c>
      <c r="K4" t="s">
        <v>1030</v>
      </c>
      <c r="L4" t="s">
        <v>1038</v>
      </c>
      <c r="M4" t="s">
        <v>1033</v>
      </c>
      <c r="N4">
        <v>9</v>
      </c>
      <c r="O4" t="s">
        <v>1043</v>
      </c>
    </row>
    <row r="5" spans="1:15" x14ac:dyDescent="0.25">
      <c r="A5">
        <v>41</v>
      </c>
      <c r="B5" s="6">
        <v>44979</v>
      </c>
      <c r="C5" s="5" t="s">
        <v>25</v>
      </c>
      <c r="D5" s="5" t="s">
        <v>2</v>
      </c>
      <c r="E5">
        <v>34</v>
      </c>
      <c r="F5" s="5" t="s">
        <v>19</v>
      </c>
      <c r="G5">
        <v>2</v>
      </c>
      <c r="H5" s="11">
        <v>25</v>
      </c>
      <c r="I5" s="11">
        <v>50</v>
      </c>
      <c r="J5" t="s">
        <v>20</v>
      </c>
      <c r="K5" t="s">
        <v>1028</v>
      </c>
      <c r="L5" t="s">
        <v>1038</v>
      </c>
      <c r="M5" t="s">
        <v>1039</v>
      </c>
      <c r="N5">
        <v>2</v>
      </c>
      <c r="O5" t="s">
        <v>1044</v>
      </c>
    </row>
    <row r="6" spans="1:15" x14ac:dyDescent="0.25">
      <c r="A6">
        <v>44</v>
      </c>
      <c r="B6" s="6">
        <v>44976</v>
      </c>
      <c r="C6" s="5" t="s">
        <v>26</v>
      </c>
      <c r="D6" s="5" t="s">
        <v>1</v>
      </c>
      <c r="E6">
        <v>22</v>
      </c>
      <c r="F6" s="5" t="s">
        <v>19</v>
      </c>
      <c r="G6">
        <v>1</v>
      </c>
      <c r="H6" s="11">
        <v>25</v>
      </c>
      <c r="I6" s="11">
        <v>25</v>
      </c>
      <c r="J6" t="s">
        <v>22</v>
      </c>
      <c r="K6" t="s">
        <v>1029</v>
      </c>
      <c r="L6" t="s">
        <v>1038</v>
      </c>
      <c r="M6" t="s">
        <v>1039</v>
      </c>
      <c r="N6">
        <v>2</v>
      </c>
      <c r="O6" t="s">
        <v>1044</v>
      </c>
    </row>
    <row r="7" spans="1:15" x14ac:dyDescent="0.25">
      <c r="A7">
        <v>64</v>
      </c>
      <c r="B7" s="6">
        <v>44950</v>
      </c>
      <c r="C7" s="5" t="s">
        <v>27</v>
      </c>
      <c r="D7" s="5" t="s">
        <v>2</v>
      </c>
      <c r="E7">
        <v>49</v>
      </c>
      <c r="F7" s="5" t="s">
        <v>19</v>
      </c>
      <c r="G7">
        <v>4</v>
      </c>
      <c r="H7" s="11">
        <v>25</v>
      </c>
      <c r="I7" s="11">
        <v>100</v>
      </c>
      <c r="J7" t="s">
        <v>20</v>
      </c>
      <c r="K7" t="s">
        <v>1028</v>
      </c>
      <c r="L7" t="s">
        <v>1038</v>
      </c>
      <c r="M7" t="s">
        <v>1039</v>
      </c>
      <c r="N7">
        <v>1</v>
      </c>
      <c r="O7" t="s">
        <v>1045</v>
      </c>
    </row>
    <row r="8" spans="1:15" x14ac:dyDescent="0.25">
      <c r="A8">
        <v>103</v>
      </c>
      <c r="B8" s="6">
        <v>44943</v>
      </c>
      <c r="C8" s="5" t="s">
        <v>28</v>
      </c>
      <c r="D8" s="5" t="s">
        <v>1</v>
      </c>
      <c r="E8">
        <v>59</v>
      </c>
      <c r="F8" s="5" t="s">
        <v>19</v>
      </c>
      <c r="G8">
        <v>1</v>
      </c>
      <c r="H8" s="11">
        <v>25</v>
      </c>
      <c r="I8" s="11">
        <v>25</v>
      </c>
      <c r="J8" t="s">
        <v>24</v>
      </c>
      <c r="K8" t="s">
        <v>1030</v>
      </c>
      <c r="L8" t="s">
        <v>1038</v>
      </c>
      <c r="M8" t="s">
        <v>1039</v>
      </c>
      <c r="N8">
        <v>1</v>
      </c>
      <c r="O8" t="s">
        <v>1045</v>
      </c>
    </row>
    <row r="9" spans="1:15" x14ac:dyDescent="0.25">
      <c r="A9">
        <v>127</v>
      </c>
      <c r="B9" s="6">
        <v>45131</v>
      </c>
      <c r="C9" s="5" t="s">
        <v>29</v>
      </c>
      <c r="D9" s="5" t="s">
        <v>1</v>
      </c>
      <c r="E9">
        <v>33</v>
      </c>
      <c r="F9" s="5" t="s">
        <v>19</v>
      </c>
      <c r="G9">
        <v>2</v>
      </c>
      <c r="H9" s="11">
        <v>25</v>
      </c>
      <c r="I9" s="11">
        <v>50</v>
      </c>
      <c r="J9" t="s">
        <v>20</v>
      </c>
      <c r="K9" t="s">
        <v>1028</v>
      </c>
      <c r="L9" t="s">
        <v>1038</v>
      </c>
      <c r="M9" t="s">
        <v>1033</v>
      </c>
      <c r="N9">
        <v>7</v>
      </c>
      <c r="O9" t="s">
        <v>1046</v>
      </c>
    </row>
    <row r="10" spans="1:15" x14ac:dyDescent="0.25">
      <c r="A10">
        <v>135</v>
      </c>
      <c r="B10" s="6">
        <v>44983</v>
      </c>
      <c r="C10" s="5" t="s">
        <v>30</v>
      </c>
      <c r="D10" s="5" t="s">
        <v>2</v>
      </c>
      <c r="E10">
        <v>20</v>
      </c>
      <c r="F10" s="5" t="s">
        <v>19</v>
      </c>
      <c r="G10">
        <v>2</v>
      </c>
      <c r="H10" s="11">
        <v>25</v>
      </c>
      <c r="I10" s="11">
        <v>50</v>
      </c>
      <c r="J10" t="s">
        <v>22</v>
      </c>
      <c r="K10" t="s">
        <v>1029</v>
      </c>
      <c r="L10" t="s">
        <v>1038</v>
      </c>
      <c r="M10" t="s">
        <v>1039</v>
      </c>
      <c r="N10">
        <v>2</v>
      </c>
      <c r="O10" t="s">
        <v>1044</v>
      </c>
    </row>
    <row r="11" spans="1:15" x14ac:dyDescent="0.25">
      <c r="A11">
        <v>145</v>
      </c>
      <c r="B11" s="6">
        <v>45232</v>
      </c>
      <c r="C11" s="5" t="s">
        <v>31</v>
      </c>
      <c r="D11" s="5" t="s">
        <v>1</v>
      </c>
      <c r="E11">
        <v>39</v>
      </c>
      <c r="F11" s="5" t="s">
        <v>19</v>
      </c>
      <c r="G11">
        <v>3</v>
      </c>
      <c r="H11" s="11">
        <v>25</v>
      </c>
      <c r="I11" s="11">
        <v>75</v>
      </c>
      <c r="J11" t="s">
        <v>20</v>
      </c>
      <c r="K11" t="s">
        <v>1028</v>
      </c>
      <c r="L11" t="s">
        <v>1038</v>
      </c>
      <c r="M11" t="s">
        <v>1047</v>
      </c>
      <c r="N11">
        <v>11</v>
      </c>
      <c r="O11" t="s">
        <v>1048</v>
      </c>
    </row>
    <row r="12" spans="1:15" x14ac:dyDescent="0.25">
      <c r="A12">
        <v>149</v>
      </c>
      <c r="B12" s="6">
        <v>45210</v>
      </c>
      <c r="C12" s="5" t="s">
        <v>32</v>
      </c>
      <c r="D12" s="5" t="s">
        <v>2</v>
      </c>
      <c r="E12">
        <v>22</v>
      </c>
      <c r="F12" s="5" t="s">
        <v>19</v>
      </c>
      <c r="G12">
        <v>3</v>
      </c>
      <c r="H12" s="11">
        <v>25</v>
      </c>
      <c r="I12" s="11">
        <v>75</v>
      </c>
      <c r="J12" t="s">
        <v>22</v>
      </c>
      <c r="K12" t="s">
        <v>1029</v>
      </c>
      <c r="L12" t="s">
        <v>1038</v>
      </c>
      <c r="M12" t="s">
        <v>1047</v>
      </c>
      <c r="N12">
        <v>10</v>
      </c>
      <c r="O12" t="s">
        <v>1049</v>
      </c>
    </row>
    <row r="13" spans="1:15" x14ac:dyDescent="0.25">
      <c r="A13">
        <v>156</v>
      </c>
      <c r="B13" s="6">
        <v>45255</v>
      </c>
      <c r="C13" s="5" t="s">
        <v>33</v>
      </c>
      <c r="D13" s="5" t="s">
        <v>1</v>
      </c>
      <c r="E13">
        <v>43</v>
      </c>
      <c r="F13" s="5" t="s">
        <v>19</v>
      </c>
      <c r="G13">
        <v>4</v>
      </c>
      <c r="H13" s="11">
        <v>25</v>
      </c>
      <c r="I13" s="11">
        <v>100</v>
      </c>
      <c r="J13" t="s">
        <v>20</v>
      </c>
      <c r="K13" t="s">
        <v>1028</v>
      </c>
      <c r="L13" t="s">
        <v>1038</v>
      </c>
      <c r="M13" t="s">
        <v>1047</v>
      </c>
      <c r="N13">
        <v>11</v>
      </c>
      <c r="O13" t="s">
        <v>1048</v>
      </c>
    </row>
    <row r="14" spans="1:15" x14ac:dyDescent="0.25">
      <c r="A14">
        <v>170</v>
      </c>
      <c r="B14" s="6">
        <v>45079</v>
      </c>
      <c r="C14" s="5" t="s">
        <v>34</v>
      </c>
      <c r="D14" s="5" t="s">
        <v>1</v>
      </c>
      <c r="E14">
        <v>25</v>
      </c>
      <c r="F14" s="5" t="s">
        <v>19</v>
      </c>
      <c r="G14">
        <v>2</v>
      </c>
      <c r="H14" s="11">
        <v>25</v>
      </c>
      <c r="I14" s="11">
        <v>50</v>
      </c>
      <c r="J14" t="s">
        <v>22</v>
      </c>
      <c r="K14" t="s">
        <v>1029</v>
      </c>
      <c r="L14" t="s">
        <v>1038</v>
      </c>
      <c r="M14" t="s">
        <v>1041</v>
      </c>
      <c r="N14">
        <v>6</v>
      </c>
      <c r="O14" t="s">
        <v>1050</v>
      </c>
    </row>
    <row r="15" spans="1:15" x14ac:dyDescent="0.25">
      <c r="A15">
        <v>185</v>
      </c>
      <c r="B15" s="6">
        <v>44984</v>
      </c>
      <c r="C15" s="5" t="s">
        <v>35</v>
      </c>
      <c r="D15" s="5" t="s">
        <v>2</v>
      </c>
      <c r="E15">
        <v>24</v>
      </c>
      <c r="F15" s="5" t="s">
        <v>19</v>
      </c>
      <c r="G15">
        <v>1</v>
      </c>
      <c r="H15" s="11">
        <v>25</v>
      </c>
      <c r="I15" s="11">
        <v>25</v>
      </c>
      <c r="J15" t="s">
        <v>22</v>
      </c>
      <c r="K15" t="s">
        <v>1029</v>
      </c>
      <c r="L15" t="s">
        <v>1038</v>
      </c>
      <c r="M15" t="s">
        <v>1039</v>
      </c>
      <c r="N15">
        <v>2</v>
      </c>
      <c r="O15" t="s">
        <v>1044</v>
      </c>
    </row>
    <row r="16" spans="1:15" x14ac:dyDescent="0.25">
      <c r="A16">
        <v>188</v>
      </c>
      <c r="B16" s="6">
        <v>45049</v>
      </c>
      <c r="C16" s="5" t="s">
        <v>36</v>
      </c>
      <c r="D16" s="5" t="s">
        <v>2</v>
      </c>
      <c r="E16">
        <v>40</v>
      </c>
      <c r="F16" s="5" t="s">
        <v>19</v>
      </c>
      <c r="G16">
        <v>3</v>
      </c>
      <c r="H16" s="11">
        <v>25</v>
      </c>
      <c r="I16" s="11">
        <v>75</v>
      </c>
      <c r="J16" t="s">
        <v>20</v>
      </c>
      <c r="K16" t="s">
        <v>1028</v>
      </c>
      <c r="L16" t="s">
        <v>1038</v>
      </c>
      <c r="M16" t="s">
        <v>1041</v>
      </c>
      <c r="N16">
        <v>5</v>
      </c>
      <c r="O16" t="s">
        <v>1032</v>
      </c>
    </row>
    <row r="17" spans="1:15" x14ac:dyDescent="0.25">
      <c r="A17">
        <v>205</v>
      </c>
      <c r="B17" s="6">
        <v>45237</v>
      </c>
      <c r="C17" s="5" t="s">
        <v>37</v>
      </c>
      <c r="D17" s="5" t="s">
        <v>1</v>
      </c>
      <c r="E17">
        <v>43</v>
      </c>
      <c r="F17" s="5" t="s">
        <v>19</v>
      </c>
      <c r="G17">
        <v>1</v>
      </c>
      <c r="H17" s="11">
        <v>25</v>
      </c>
      <c r="I17" s="11">
        <v>25</v>
      </c>
      <c r="J17" t="s">
        <v>20</v>
      </c>
      <c r="K17" t="s">
        <v>1028</v>
      </c>
      <c r="L17" t="s">
        <v>1038</v>
      </c>
      <c r="M17" t="s">
        <v>1047</v>
      </c>
      <c r="N17">
        <v>11</v>
      </c>
      <c r="O17" t="s">
        <v>1048</v>
      </c>
    </row>
    <row r="18" spans="1:15" x14ac:dyDescent="0.25">
      <c r="A18">
        <v>206</v>
      </c>
      <c r="B18" s="6">
        <v>45143</v>
      </c>
      <c r="C18" s="5" t="s">
        <v>38</v>
      </c>
      <c r="D18" s="5" t="s">
        <v>2</v>
      </c>
      <c r="E18">
        <v>61</v>
      </c>
      <c r="F18" s="5" t="s">
        <v>19</v>
      </c>
      <c r="G18">
        <v>1</v>
      </c>
      <c r="H18" s="11">
        <v>25</v>
      </c>
      <c r="I18" s="11">
        <v>25</v>
      </c>
      <c r="J18" t="s">
        <v>24</v>
      </c>
      <c r="K18" t="s">
        <v>1030</v>
      </c>
      <c r="L18" t="s">
        <v>1038</v>
      </c>
      <c r="M18" t="s">
        <v>1033</v>
      </c>
      <c r="N18">
        <v>8</v>
      </c>
      <c r="O18" t="s">
        <v>1051</v>
      </c>
    </row>
    <row r="19" spans="1:15" x14ac:dyDescent="0.25">
      <c r="A19">
        <v>223</v>
      </c>
      <c r="B19" s="6">
        <v>44959</v>
      </c>
      <c r="C19" s="5" t="s">
        <v>39</v>
      </c>
      <c r="D19" s="5" t="s">
        <v>1</v>
      </c>
      <c r="E19">
        <v>64</v>
      </c>
      <c r="F19" s="5" t="s">
        <v>19</v>
      </c>
      <c r="G19">
        <v>1</v>
      </c>
      <c r="H19" s="11">
        <v>25</v>
      </c>
      <c r="I19" s="11">
        <v>25</v>
      </c>
      <c r="J19" t="s">
        <v>24</v>
      </c>
      <c r="K19" t="s">
        <v>1030</v>
      </c>
      <c r="L19" t="s">
        <v>1038</v>
      </c>
      <c r="M19" t="s">
        <v>1039</v>
      </c>
      <c r="N19">
        <v>2</v>
      </c>
      <c r="O19" t="s">
        <v>1044</v>
      </c>
    </row>
    <row r="20" spans="1:15" x14ac:dyDescent="0.25">
      <c r="A20">
        <v>236</v>
      </c>
      <c r="B20" s="6">
        <v>45044</v>
      </c>
      <c r="C20" s="5" t="s">
        <v>40</v>
      </c>
      <c r="D20" s="5" t="s">
        <v>1</v>
      </c>
      <c r="E20">
        <v>54</v>
      </c>
      <c r="F20" s="5" t="s">
        <v>19</v>
      </c>
      <c r="G20">
        <v>1</v>
      </c>
      <c r="H20" s="11">
        <v>25</v>
      </c>
      <c r="I20" s="11">
        <v>25</v>
      </c>
      <c r="J20" t="s">
        <v>20</v>
      </c>
      <c r="K20" t="s">
        <v>1028</v>
      </c>
      <c r="L20" t="s">
        <v>1038</v>
      </c>
      <c r="M20" t="s">
        <v>1041</v>
      </c>
      <c r="N20">
        <v>4</v>
      </c>
      <c r="O20" t="s">
        <v>1042</v>
      </c>
    </row>
    <row r="21" spans="1:15" x14ac:dyDescent="0.25">
      <c r="A21">
        <v>242</v>
      </c>
      <c r="B21" s="6">
        <v>45048</v>
      </c>
      <c r="C21" s="5" t="s">
        <v>41</v>
      </c>
      <c r="D21" s="5" t="s">
        <v>2</v>
      </c>
      <c r="E21">
        <v>21</v>
      </c>
      <c r="F21" s="5" t="s">
        <v>19</v>
      </c>
      <c r="G21">
        <v>1</v>
      </c>
      <c r="H21" s="11">
        <v>25</v>
      </c>
      <c r="I21" s="11">
        <v>25</v>
      </c>
      <c r="J21" t="s">
        <v>22</v>
      </c>
      <c r="K21" t="s">
        <v>1029</v>
      </c>
      <c r="L21" t="s">
        <v>1038</v>
      </c>
      <c r="M21" t="s">
        <v>1041</v>
      </c>
      <c r="N21">
        <v>5</v>
      </c>
      <c r="O21" t="s">
        <v>1032</v>
      </c>
    </row>
    <row r="22" spans="1:15" x14ac:dyDescent="0.25">
      <c r="A22">
        <v>261</v>
      </c>
      <c r="B22" s="6">
        <v>45143</v>
      </c>
      <c r="C22" s="5" t="s">
        <v>42</v>
      </c>
      <c r="D22" s="5" t="s">
        <v>2</v>
      </c>
      <c r="E22">
        <v>21</v>
      </c>
      <c r="F22" s="5" t="s">
        <v>19</v>
      </c>
      <c r="G22">
        <v>2</v>
      </c>
      <c r="H22" s="11">
        <v>25</v>
      </c>
      <c r="I22" s="11">
        <v>50</v>
      </c>
      <c r="J22" t="s">
        <v>22</v>
      </c>
      <c r="K22" t="s">
        <v>1029</v>
      </c>
      <c r="L22" t="s">
        <v>1038</v>
      </c>
      <c r="M22" t="s">
        <v>1033</v>
      </c>
      <c r="N22">
        <v>8</v>
      </c>
      <c r="O22" t="s">
        <v>1051</v>
      </c>
    </row>
    <row r="23" spans="1:15" x14ac:dyDescent="0.25">
      <c r="A23">
        <v>277</v>
      </c>
      <c r="B23" s="6">
        <v>45156</v>
      </c>
      <c r="C23" s="5" t="s">
        <v>43</v>
      </c>
      <c r="D23" s="5" t="s">
        <v>2</v>
      </c>
      <c r="E23">
        <v>36</v>
      </c>
      <c r="F23" s="5" t="s">
        <v>19</v>
      </c>
      <c r="G23">
        <v>4</v>
      </c>
      <c r="H23" s="11">
        <v>25</v>
      </c>
      <c r="I23" s="11">
        <v>100</v>
      </c>
      <c r="J23" t="s">
        <v>20</v>
      </c>
      <c r="K23" t="s">
        <v>1028</v>
      </c>
      <c r="L23" t="s">
        <v>1038</v>
      </c>
      <c r="M23" t="s">
        <v>1033</v>
      </c>
      <c r="N23">
        <v>8</v>
      </c>
      <c r="O23" t="s">
        <v>1051</v>
      </c>
    </row>
    <row r="24" spans="1:15" x14ac:dyDescent="0.25">
      <c r="A24">
        <v>278</v>
      </c>
      <c r="B24" s="6">
        <v>44998</v>
      </c>
      <c r="C24" s="5" t="s">
        <v>44</v>
      </c>
      <c r="D24" s="5" t="s">
        <v>1</v>
      </c>
      <c r="E24">
        <v>37</v>
      </c>
      <c r="F24" s="5" t="s">
        <v>19</v>
      </c>
      <c r="G24">
        <v>4</v>
      </c>
      <c r="H24" s="11">
        <v>25</v>
      </c>
      <c r="I24" s="11">
        <v>100</v>
      </c>
      <c r="J24" t="s">
        <v>20</v>
      </c>
      <c r="K24" t="s">
        <v>1028</v>
      </c>
      <c r="L24" t="s">
        <v>1038</v>
      </c>
      <c r="M24" t="s">
        <v>1039</v>
      </c>
      <c r="N24">
        <v>3</v>
      </c>
      <c r="O24" t="s">
        <v>1040</v>
      </c>
    </row>
    <row r="25" spans="1:15" x14ac:dyDescent="0.25">
      <c r="A25">
        <v>287</v>
      </c>
      <c r="B25" s="6">
        <v>44977</v>
      </c>
      <c r="C25" s="5" t="s">
        <v>45</v>
      </c>
      <c r="D25" s="5" t="s">
        <v>2</v>
      </c>
      <c r="E25">
        <v>54</v>
      </c>
      <c r="F25" s="5" t="s">
        <v>19</v>
      </c>
      <c r="G25">
        <v>4</v>
      </c>
      <c r="H25" s="11">
        <v>25</v>
      </c>
      <c r="I25" s="11">
        <v>100</v>
      </c>
      <c r="J25" t="s">
        <v>20</v>
      </c>
      <c r="K25" t="s">
        <v>1028</v>
      </c>
      <c r="L25" t="s">
        <v>1038</v>
      </c>
      <c r="M25" t="s">
        <v>1039</v>
      </c>
      <c r="N25">
        <v>2</v>
      </c>
      <c r="O25" t="s">
        <v>1044</v>
      </c>
    </row>
    <row r="26" spans="1:15" x14ac:dyDescent="0.25">
      <c r="A26">
        <v>316</v>
      </c>
      <c r="B26" s="6">
        <v>45038</v>
      </c>
      <c r="C26" s="5" t="s">
        <v>46</v>
      </c>
      <c r="D26" s="5" t="s">
        <v>1</v>
      </c>
      <c r="E26">
        <v>48</v>
      </c>
      <c r="F26" s="5" t="s">
        <v>19</v>
      </c>
      <c r="G26">
        <v>2</v>
      </c>
      <c r="H26" s="11">
        <v>25</v>
      </c>
      <c r="I26" s="11">
        <v>50</v>
      </c>
      <c r="J26" t="s">
        <v>20</v>
      </c>
      <c r="K26" t="s">
        <v>1028</v>
      </c>
      <c r="L26" t="s">
        <v>1038</v>
      </c>
      <c r="M26" t="s">
        <v>1041</v>
      </c>
      <c r="N26">
        <v>4</v>
      </c>
      <c r="O26" t="s">
        <v>1042</v>
      </c>
    </row>
    <row r="27" spans="1:15" x14ac:dyDescent="0.25">
      <c r="A27">
        <v>318</v>
      </c>
      <c r="B27" s="6">
        <v>45223</v>
      </c>
      <c r="C27" s="5" t="s">
        <v>47</v>
      </c>
      <c r="D27" s="5" t="s">
        <v>2</v>
      </c>
      <c r="E27">
        <v>61</v>
      </c>
      <c r="F27" s="5" t="s">
        <v>19</v>
      </c>
      <c r="G27">
        <v>1</v>
      </c>
      <c r="H27" s="11">
        <v>25</v>
      </c>
      <c r="I27" s="11">
        <v>25</v>
      </c>
      <c r="J27" t="s">
        <v>24</v>
      </c>
      <c r="K27" t="s">
        <v>1030</v>
      </c>
      <c r="L27" t="s">
        <v>1038</v>
      </c>
      <c r="M27" t="s">
        <v>1047</v>
      </c>
      <c r="N27">
        <v>10</v>
      </c>
      <c r="O27" t="s">
        <v>1049</v>
      </c>
    </row>
    <row r="28" spans="1:15" x14ac:dyDescent="0.25">
      <c r="A28">
        <v>326</v>
      </c>
      <c r="B28" s="6">
        <v>45184</v>
      </c>
      <c r="C28" s="5" t="s">
        <v>48</v>
      </c>
      <c r="D28" s="5" t="s">
        <v>1</v>
      </c>
      <c r="E28">
        <v>18</v>
      </c>
      <c r="F28" s="5" t="s">
        <v>19</v>
      </c>
      <c r="G28">
        <v>3</v>
      </c>
      <c r="H28" s="11">
        <v>25</v>
      </c>
      <c r="I28" s="11">
        <v>75</v>
      </c>
      <c r="J28" t="s">
        <v>22</v>
      </c>
      <c r="K28" t="s">
        <v>1029</v>
      </c>
      <c r="L28" t="s">
        <v>1038</v>
      </c>
      <c r="M28" t="s">
        <v>1033</v>
      </c>
      <c r="N28">
        <v>9</v>
      </c>
      <c r="O28" t="s">
        <v>1043</v>
      </c>
    </row>
    <row r="29" spans="1:15" x14ac:dyDescent="0.25">
      <c r="A29">
        <v>360</v>
      </c>
      <c r="B29" s="6">
        <v>44994</v>
      </c>
      <c r="C29" s="5" t="s">
        <v>49</v>
      </c>
      <c r="D29" s="5" t="s">
        <v>2</v>
      </c>
      <c r="E29">
        <v>42</v>
      </c>
      <c r="F29" s="5" t="s">
        <v>19</v>
      </c>
      <c r="G29">
        <v>4</v>
      </c>
      <c r="H29" s="11">
        <v>25</v>
      </c>
      <c r="I29" s="11">
        <v>100</v>
      </c>
      <c r="J29" t="s">
        <v>20</v>
      </c>
      <c r="K29" t="s">
        <v>1028</v>
      </c>
      <c r="L29" t="s">
        <v>1038</v>
      </c>
      <c r="M29" t="s">
        <v>1039</v>
      </c>
      <c r="N29">
        <v>3</v>
      </c>
      <c r="O29" t="s">
        <v>1040</v>
      </c>
    </row>
    <row r="30" spans="1:15" x14ac:dyDescent="0.25">
      <c r="A30">
        <v>362</v>
      </c>
      <c r="B30" s="6">
        <v>45257</v>
      </c>
      <c r="C30" s="5" t="s">
        <v>50</v>
      </c>
      <c r="D30" s="5" t="s">
        <v>2</v>
      </c>
      <c r="E30">
        <v>50</v>
      </c>
      <c r="F30" s="5" t="s">
        <v>19</v>
      </c>
      <c r="G30">
        <v>1</v>
      </c>
      <c r="H30" s="11">
        <v>25</v>
      </c>
      <c r="I30" s="11">
        <v>25</v>
      </c>
      <c r="J30" t="s">
        <v>20</v>
      </c>
      <c r="K30" t="s">
        <v>1028</v>
      </c>
      <c r="L30" t="s">
        <v>1038</v>
      </c>
      <c r="M30" t="s">
        <v>1047</v>
      </c>
      <c r="N30">
        <v>11</v>
      </c>
      <c r="O30" t="s">
        <v>1048</v>
      </c>
    </row>
    <row r="31" spans="1:15" x14ac:dyDescent="0.25">
      <c r="A31">
        <v>379</v>
      </c>
      <c r="B31" s="6">
        <v>44962</v>
      </c>
      <c r="C31" s="5" t="s">
        <v>51</v>
      </c>
      <c r="D31" s="5" t="s">
        <v>1</v>
      </c>
      <c r="E31">
        <v>47</v>
      </c>
      <c r="F31" s="5" t="s">
        <v>19</v>
      </c>
      <c r="G31">
        <v>1</v>
      </c>
      <c r="H31" s="11">
        <v>25</v>
      </c>
      <c r="I31" s="11">
        <v>25</v>
      </c>
      <c r="J31" t="s">
        <v>20</v>
      </c>
      <c r="K31" t="s">
        <v>1028</v>
      </c>
      <c r="L31" t="s">
        <v>1038</v>
      </c>
      <c r="M31" t="s">
        <v>1039</v>
      </c>
      <c r="N31">
        <v>2</v>
      </c>
      <c r="O31" t="s">
        <v>1044</v>
      </c>
    </row>
    <row r="32" spans="1:15" x14ac:dyDescent="0.25">
      <c r="A32">
        <v>381</v>
      </c>
      <c r="B32" s="6">
        <v>45116</v>
      </c>
      <c r="C32" s="5" t="s">
        <v>52</v>
      </c>
      <c r="D32" s="5" t="s">
        <v>1</v>
      </c>
      <c r="E32">
        <v>44</v>
      </c>
      <c r="F32" s="5" t="s">
        <v>19</v>
      </c>
      <c r="G32">
        <v>4</v>
      </c>
      <c r="H32" s="11">
        <v>25</v>
      </c>
      <c r="I32" s="11">
        <v>100</v>
      </c>
      <c r="J32" t="s">
        <v>20</v>
      </c>
      <c r="K32" t="s">
        <v>1028</v>
      </c>
      <c r="L32" t="s">
        <v>1038</v>
      </c>
      <c r="M32" t="s">
        <v>1033</v>
      </c>
      <c r="N32">
        <v>7</v>
      </c>
      <c r="O32" t="s">
        <v>1046</v>
      </c>
    </row>
    <row r="33" spans="1:15" x14ac:dyDescent="0.25">
      <c r="A33">
        <v>389</v>
      </c>
      <c r="B33" s="6">
        <v>45261</v>
      </c>
      <c r="C33" s="5" t="s">
        <v>53</v>
      </c>
      <c r="D33" s="5" t="s">
        <v>2</v>
      </c>
      <c r="E33">
        <v>21</v>
      </c>
      <c r="F33" s="5" t="s">
        <v>19</v>
      </c>
      <c r="G33">
        <v>2</v>
      </c>
      <c r="H33" s="11">
        <v>25</v>
      </c>
      <c r="I33" s="11">
        <v>50</v>
      </c>
      <c r="J33" t="s">
        <v>22</v>
      </c>
      <c r="K33" t="s">
        <v>1029</v>
      </c>
      <c r="L33" t="s">
        <v>1038</v>
      </c>
      <c r="M33" t="s">
        <v>1047</v>
      </c>
      <c r="N33">
        <v>12</v>
      </c>
      <c r="O33" t="s">
        <v>1052</v>
      </c>
    </row>
    <row r="34" spans="1:15" x14ac:dyDescent="0.25">
      <c r="A34">
        <v>423</v>
      </c>
      <c r="B34" s="6">
        <v>44993</v>
      </c>
      <c r="C34" s="5" t="s">
        <v>54</v>
      </c>
      <c r="D34" s="5" t="s">
        <v>1</v>
      </c>
      <c r="E34">
        <v>27</v>
      </c>
      <c r="F34" s="5" t="s">
        <v>19</v>
      </c>
      <c r="G34">
        <v>1</v>
      </c>
      <c r="H34" s="11">
        <v>25</v>
      </c>
      <c r="I34" s="11">
        <v>25</v>
      </c>
      <c r="J34" t="s">
        <v>22</v>
      </c>
      <c r="K34" t="s">
        <v>1029</v>
      </c>
      <c r="L34" t="s">
        <v>1038</v>
      </c>
      <c r="M34" t="s">
        <v>1039</v>
      </c>
      <c r="N34">
        <v>3</v>
      </c>
      <c r="O34" t="s">
        <v>1040</v>
      </c>
    </row>
    <row r="35" spans="1:15" x14ac:dyDescent="0.25">
      <c r="A35">
        <v>439</v>
      </c>
      <c r="B35" s="6">
        <v>45116</v>
      </c>
      <c r="C35" s="5" t="s">
        <v>55</v>
      </c>
      <c r="D35" s="5" t="s">
        <v>2</v>
      </c>
      <c r="E35">
        <v>50</v>
      </c>
      <c r="F35" s="5" t="s">
        <v>19</v>
      </c>
      <c r="G35">
        <v>3</v>
      </c>
      <c r="H35" s="11">
        <v>25</v>
      </c>
      <c r="I35" s="11">
        <v>75</v>
      </c>
      <c r="J35" t="s">
        <v>20</v>
      </c>
      <c r="K35" t="s">
        <v>1028</v>
      </c>
      <c r="L35" t="s">
        <v>1038</v>
      </c>
      <c r="M35" t="s">
        <v>1033</v>
      </c>
      <c r="N35">
        <v>7</v>
      </c>
      <c r="O35" t="s">
        <v>1046</v>
      </c>
    </row>
    <row r="36" spans="1:15" x14ac:dyDescent="0.25">
      <c r="A36">
        <v>442</v>
      </c>
      <c r="B36" s="6">
        <v>45002</v>
      </c>
      <c r="C36" s="5" t="s">
        <v>56</v>
      </c>
      <c r="D36" s="5" t="s">
        <v>1</v>
      </c>
      <c r="E36">
        <v>60</v>
      </c>
      <c r="F36" s="5" t="s">
        <v>19</v>
      </c>
      <c r="G36">
        <v>4</v>
      </c>
      <c r="H36" s="11">
        <v>25</v>
      </c>
      <c r="I36" s="11">
        <v>100</v>
      </c>
      <c r="J36" t="s">
        <v>24</v>
      </c>
      <c r="K36" t="s">
        <v>1030</v>
      </c>
      <c r="L36" t="s">
        <v>1038</v>
      </c>
      <c r="M36" t="s">
        <v>1039</v>
      </c>
      <c r="N36">
        <v>3</v>
      </c>
      <c r="O36" t="s">
        <v>1040</v>
      </c>
    </row>
    <row r="37" spans="1:15" x14ac:dyDescent="0.25">
      <c r="A37">
        <v>475</v>
      </c>
      <c r="B37" s="6">
        <v>44946</v>
      </c>
      <c r="C37" s="5" t="s">
        <v>57</v>
      </c>
      <c r="D37" s="5" t="s">
        <v>2</v>
      </c>
      <c r="E37">
        <v>26</v>
      </c>
      <c r="F37" s="5" t="s">
        <v>19</v>
      </c>
      <c r="G37">
        <v>3</v>
      </c>
      <c r="H37" s="11">
        <v>25</v>
      </c>
      <c r="I37" s="11">
        <v>75</v>
      </c>
      <c r="J37" t="s">
        <v>22</v>
      </c>
      <c r="K37" t="s">
        <v>1029</v>
      </c>
      <c r="L37" t="s">
        <v>1038</v>
      </c>
      <c r="M37" t="s">
        <v>1039</v>
      </c>
      <c r="N37">
        <v>1</v>
      </c>
      <c r="O37" t="s">
        <v>1045</v>
      </c>
    </row>
    <row r="38" spans="1:15" x14ac:dyDescent="0.25">
      <c r="A38">
        <v>498</v>
      </c>
      <c r="B38" s="6">
        <v>45096</v>
      </c>
      <c r="C38" s="5" t="s">
        <v>58</v>
      </c>
      <c r="D38" s="5" t="s">
        <v>1</v>
      </c>
      <c r="E38">
        <v>50</v>
      </c>
      <c r="F38" s="5" t="s">
        <v>19</v>
      </c>
      <c r="G38">
        <v>4</v>
      </c>
      <c r="H38" s="11">
        <v>25</v>
      </c>
      <c r="I38" s="11">
        <v>100</v>
      </c>
      <c r="J38" t="s">
        <v>20</v>
      </c>
      <c r="K38" t="s">
        <v>1028</v>
      </c>
      <c r="L38" t="s">
        <v>1038</v>
      </c>
      <c r="M38" t="s">
        <v>1041</v>
      </c>
      <c r="N38">
        <v>6</v>
      </c>
      <c r="O38" t="s">
        <v>1050</v>
      </c>
    </row>
    <row r="39" spans="1:15" x14ac:dyDescent="0.25">
      <c r="A39">
        <v>517</v>
      </c>
      <c r="B39" s="6">
        <v>45024</v>
      </c>
      <c r="C39" s="5" t="s">
        <v>59</v>
      </c>
      <c r="D39" s="5" t="s">
        <v>1</v>
      </c>
      <c r="E39">
        <v>47</v>
      </c>
      <c r="F39" s="5" t="s">
        <v>19</v>
      </c>
      <c r="G39">
        <v>4</v>
      </c>
      <c r="H39" s="11">
        <v>25</v>
      </c>
      <c r="I39" s="11">
        <v>100</v>
      </c>
      <c r="J39" t="s">
        <v>20</v>
      </c>
      <c r="K39" t="s">
        <v>1028</v>
      </c>
      <c r="L39" t="s">
        <v>1038</v>
      </c>
      <c r="M39" t="s">
        <v>1041</v>
      </c>
      <c r="N39">
        <v>4</v>
      </c>
      <c r="O39" t="s">
        <v>1042</v>
      </c>
    </row>
    <row r="40" spans="1:15" x14ac:dyDescent="0.25">
      <c r="A40">
        <v>527</v>
      </c>
      <c r="B40" s="6">
        <v>45027</v>
      </c>
      <c r="C40" s="5" t="s">
        <v>60</v>
      </c>
      <c r="D40" s="5" t="s">
        <v>2</v>
      </c>
      <c r="E40">
        <v>57</v>
      </c>
      <c r="F40" s="5" t="s">
        <v>19</v>
      </c>
      <c r="G40">
        <v>2</v>
      </c>
      <c r="H40" s="11">
        <v>25</v>
      </c>
      <c r="I40" s="11">
        <v>50</v>
      </c>
      <c r="J40" t="s">
        <v>24</v>
      </c>
      <c r="K40" t="s">
        <v>1030</v>
      </c>
      <c r="L40" t="s">
        <v>1038</v>
      </c>
      <c r="M40" t="s">
        <v>1041</v>
      </c>
      <c r="N40">
        <v>4</v>
      </c>
      <c r="O40" t="s">
        <v>1042</v>
      </c>
    </row>
    <row r="41" spans="1:15" x14ac:dyDescent="0.25">
      <c r="A41">
        <v>545</v>
      </c>
      <c r="B41" s="6">
        <v>45078</v>
      </c>
      <c r="C41" s="5" t="s">
        <v>61</v>
      </c>
      <c r="D41" s="5" t="s">
        <v>2</v>
      </c>
      <c r="E41">
        <v>27</v>
      </c>
      <c r="F41" s="5" t="s">
        <v>19</v>
      </c>
      <c r="G41">
        <v>2</v>
      </c>
      <c r="H41" s="11">
        <v>25</v>
      </c>
      <c r="I41" s="11">
        <v>50</v>
      </c>
      <c r="J41" t="s">
        <v>22</v>
      </c>
      <c r="K41" t="s">
        <v>1029</v>
      </c>
      <c r="L41" t="s">
        <v>1038</v>
      </c>
      <c r="M41" t="s">
        <v>1041</v>
      </c>
      <c r="N41">
        <v>6</v>
      </c>
      <c r="O41" t="s">
        <v>1050</v>
      </c>
    </row>
    <row r="42" spans="1:15" x14ac:dyDescent="0.25">
      <c r="A42">
        <v>558</v>
      </c>
      <c r="B42" s="6">
        <v>45207</v>
      </c>
      <c r="C42" s="5" t="s">
        <v>62</v>
      </c>
      <c r="D42" s="5" t="s">
        <v>1</v>
      </c>
      <c r="E42">
        <v>41</v>
      </c>
      <c r="F42" s="5" t="s">
        <v>19</v>
      </c>
      <c r="G42">
        <v>1</v>
      </c>
      <c r="H42" s="11">
        <v>25</v>
      </c>
      <c r="I42" s="11">
        <v>25</v>
      </c>
      <c r="J42" t="s">
        <v>20</v>
      </c>
      <c r="K42" t="s">
        <v>1028</v>
      </c>
      <c r="L42" t="s">
        <v>1038</v>
      </c>
      <c r="M42" t="s">
        <v>1047</v>
      </c>
      <c r="N42">
        <v>10</v>
      </c>
      <c r="O42" t="s">
        <v>1049</v>
      </c>
    </row>
    <row r="43" spans="1:15" x14ac:dyDescent="0.25">
      <c r="A43">
        <v>585</v>
      </c>
      <c r="B43" s="6">
        <v>45047</v>
      </c>
      <c r="C43" s="5" t="s">
        <v>63</v>
      </c>
      <c r="D43" s="5" t="s">
        <v>1</v>
      </c>
      <c r="E43">
        <v>24</v>
      </c>
      <c r="F43" s="5" t="s">
        <v>19</v>
      </c>
      <c r="G43">
        <v>1</v>
      </c>
      <c r="H43" s="11">
        <v>25</v>
      </c>
      <c r="I43" s="11">
        <v>25</v>
      </c>
      <c r="J43" t="s">
        <v>22</v>
      </c>
      <c r="K43" t="s">
        <v>1029</v>
      </c>
      <c r="L43" t="s">
        <v>1038</v>
      </c>
      <c r="M43" t="s">
        <v>1041</v>
      </c>
      <c r="N43">
        <v>5</v>
      </c>
      <c r="O43" t="s">
        <v>1032</v>
      </c>
    </row>
    <row r="44" spans="1:15" x14ac:dyDescent="0.25">
      <c r="A44">
        <v>607</v>
      </c>
      <c r="B44" s="6">
        <v>45002</v>
      </c>
      <c r="C44" s="5" t="s">
        <v>64</v>
      </c>
      <c r="D44" s="5" t="s">
        <v>2</v>
      </c>
      <c r="E44">
        <v>54</v>
      </c>
      <c r="F44" s="5" t="s">
        <v>19</v>
      </c>
      <c r="G44">
        <v>3</v>
      </c>
      <c r="H44" s="11">
        <v>25</v>
      </c>
      <c r="I44" s="11">
        <v>75</v>
      </c>
      <c r="J44" t="s">
        <v>20</v>
      </c>
      <c r="K44" t="s">
        <v>1028</v>
      </c>
      <c r="L44" t="s">
        <v>1038</v>
      </c>
      <c r="M44" t="s">
        <v>1039</v>
      </c>
      <c r="N44">
        <v>3</v>
      </c>
      <c r="O44" t="s">
        <v>1040</v>
      </c>
    </row>
    <row r="45" spans="1:15" x14ac:dyDescent="0.25">
      <c r="A45">
        <v>615</v>
      </c>
      <c r="B45" s="6">
        <v>45283</v>
      </c>
      <c r="C45" s="5" t="s">
        <v>65</v>
      </c>
      <c r="D45" s="5" t="s">
        <v>1</v>
      </c>
      <c r="E45">
        <v>61</v>
      </c>
      <c r="F45" s="5" t="s">
        <v>19</v>
      </c>
      <c r="G45">
        <v>4</v>
      </c>
      <c r="H45" s="11">
        <v>25</v>
      </c>
      <c r="I45" s="11">
        <v>100</v>
      </c>
      <c r="J45" t="s">
        <v>24</v>
      </c>
      <c r="K45" t="s">
        <v>1030</v>
      </c>
      <c r="L45" t="s">
        <v>1038</v>
      </c>
      <c r="M45" t="s">
        <v>1047</v>
      </c>
      <c r="N45">
        <v>12</v>
      </c>
      <c r="O45" t="s">
        <v>1052</v>
      </c>
    </row>
    <row r="46" spans="1:15" x14ac:dyDescent="0.25">
      <c r="A46">
        <v>642</v>
      </c>
      <c r="B46" s="6">
        <v>45068</v>
      </c>
      <c r="C46" s="5" t="s">
        <v>66</v>
      </c>
      <c r="D46" s="5" t="s">
        <v>1</v>
      </c>
      <c r="E46">
        <v>54</v>
      </c>
      <c r="F46" s="5" t="s">
        <v>19</v>
      </c>
      <c r="G46">
        <v>4</v>
      </c>
      <c r="H46" s="11">
        <v>25</v>
      </c>
      <c r="I46" s="11">
        <v>100</v>
      </c>
      <c r="J46" t="s">
        <v>20</v>
      </c>
      <c r="K46" t="s">
        <v>1028</v>
      </c>
      <c r="L46" t="s">
        <v>1038</v>
      </c>
      <c r="M46" t="s">
        <v>1041</v>
      </c>
      <c r="N46">
        <v>5</v>
      </c>
      <c r="O46" t="s">
        <v>1032</v>
      </c>
    </row>
    <row r="47" spans="1:15" x14ac:dyDescent="0.25">
      <c r="A47">
        <v>653</v>
      </c>
      <c r="B47" s="6">
        <v>45066</v>
      </c>
      <c r="C47" s="5" t="s">
        <v>67</v>
      </c>
      <c r="D47" s="5" t="s">
        <v>2</v>
      </c>
      <c r="E47">
        <v>54</v>
      </c>
      <c r="F47" s="5" t="s">
        <v>19</v>
      </c>
      <c r="G47">
        <v>3</v>
      </c>
      <c r="H47" s="11">
        <v>25</v>
      </c>
      <c r="I47" s="11">
        <v>75</v>
      </c>
      <c r="J47" t="s">
        <v>20</v>
      </c>
      <c r="K47" t="s">
        <v>1028</v>
      </c>
      <c r="L47" t="s">
        <v>1038</v>
      </c>
      <c r="M47" t="s">
        <v>1041</v>
      </c>
      <c r="N47">
        <v>5</v>
      </c>
      <c r="O47" t="s">
        <v>1032</v>
      </c>
    </row>
    <row r="48" spans="1:15" x14ac:dyDescent="0.25">
      <c r="A48">
        <v>654</v>
      </c>
      <c r="B48" s="6">
        <v>45098</v>
      </c>
      <c r="C48" s="5" t="s">
        <v>68</v>
      </c>
      <c r="D48" s="5" t="s">
        <v>2</v>
      </c>
      <c r="E48">
        <v>42</v>
      </c>
      <c r="F48" s="5" t="s">
        <v>19</v>
      </c>
      <c r="G48">
        <v>3</v>
      </c>
      <c r="H48" s="11">
        <v>25</v>
      </c>
      <c r="I48" s="11">
        <v>75</v>
      </c>
      <c r="J48" t="s">
        <v>20</v>
      </c>
      <c r="K48" t="s">
        <v>1028</v>
      </c>
      <c r="L48" t="s">
        <v>1038</v>
      </c>
      <c r="M48" t="s">
        <v>1041</v>
      </c>
      <c r="N48">
        <v>6</v>
      </c>
      <c r="O48" t="s">
        <v>1050</v>
      </c>
    </row>
    <row r="49" spans="1:15" x14ac:dyDescent="0.25">
      <c r="A49">
        <v>657</v>
      </c>
      <c r="B49" s="6">
        <v>44968</v>
      </c>
      <c r="C49" s="5" t="s">
        <v>69</v>
      </c>
      <c r="D49" s="5" t="s">
        <v>2</v>
      </c>
      <c r="E49">
        <v>40</v>
      </c>
      <c r="F49" s="5" t="s">
        <v>19</v>
      </c>
      <c r="G49">
        <v>1</v>
      </c>
      <c r="H49" s="11">
        <v>25</v>
      </c>
      <c r="I49" s="11">
        <v>25</v>
      </c>
      <c r="J49" t="s">
        <v>20</v>
      </c>
      <c r="K49" t="s">
        <v>1028</v>
      </c>
      <c r="L49" t="s">
        <v>1038</v>
      </c>
      <c r="M49" t="s">
        <v>1039</v>
      </c>
      <c r="N49">
        <v>2</v>
      </c>
      <c r="O49" t="s">
        <v>1044</v>
      </c>
    </row>
    <row r="50" spans="1:15" x14ac:dyDescent="0.25">
      <c r="A50">
        <v>658</v>
      </c>
      <c r="B50" s="6">
        <v>44997</v>
      </c>
      <c r="C50" s="5" t="s">
        <v>70</v>
      </c>
      <c r="D50" s="5" t="s">
        <v>2</v>
      </c>
      <c r="E50">
        <v>59</v>
      </c>
      <c r="F50" s="5" t="s">
        <v>19</v>
      </c>
      <c r="G50">
        <v>1</v>
      </c>
      <c r="H50" s="11">
        <v>25</v>
      </c>
      <c r="I50" s="11">
        <v>25</v>
      </c>
      <c r="J50" t="s">
        <v>24</v>
      </c>
      <c r="K50" t="s">
        <v>1030</v>
      </c>
      <c r="L50" t="s">
        <v>1038</v>
      </c>
      <c r="M50" t="s">
        <v>1039</v>
      </c>
      <c r="N50">
        <v>3</v>
      </c>
      <c r="O50" t="s">
        <v>1040</v>
      </c>
    </row>
    <row r="51" spans="1:15" x14ac:dyDescent="0.25">
      <c r="A51">
        <v>661</v>
      </c>
      <c r="B51" s="6">
        <v>45123</v>
      </c>
      <c r="C51" s="5" t="s">
        <v>71</v>
      </c>
      <c r="D51" s="5" t="s">
        <v>1</v>
      </c>
      <c r="E51">
        <v>44</v>
      </c>
      <c r="F51" s="5" t="s">
        <v>19</v>
      </c>
      <c r="G51">
        <v>4</v>
      </c>
      <c r="H51" s="11">
        <v>25</v>
      </c>
      <c r="I51" s="11">
        <v>100</v>
      </c>
      <c r="J51" t="s">
        <v>20</v>
      </c>
      <c r="K51" t="s">
        <v>1028</v>
      </c>
      <c r="L51" t="s">
        <v>1038</v>
      </c>
      <c r="M51" t="s">
        <v>1033</v>
      </c>
      <c r="N51">
        <v>7</v>
      </c>
      <c r="O51" t="s">
        <v>1046</v>
      </c>
    </row>
    <row r="52" spans="1:15" x14ac:dyDescent="0.25">
      <c r="A52">
        <v>688</v>
      </c>
      <c r="B52" s="6">
        <v>45202</v>
      </c>
      <c r="C52" s="5" t="s">
        <v>72</v>
      </c>
      <c r="D52" s="5" t="s">
        <v>2</v>
      </c>
      <c r="E52">
        <v>56</v>
      </c>
      <c r="F52" s="5" t="s">
        <v>19</v>
      </c>
      <c r="G52">
        <v>4</v>
      </c>
      <c r="H52" s="11">
        <v>25</v>
      </c>
      <c r="I52" s="11">
        <v>100</v>
      </c>
      <c r="J52" t="s">
        <v>24</v>
      </c>
      <c r="K52" t="s">
        <v>1030</v>
      </c>
      <c r="L52" t="s">
        <v>1038</v>
      </c>
      <c r="M52" t="s">
        <v>1047</v>
      </c>
      <c r="N52">
        <v>10</v>
      </c>
      <c r="O52" t="s">
        <v>1049</v>
      </c>
    </row>
    <row r="53" spans="1:15" x14ac:dyDescent="0.25">
      <c r="A53">
        <v>730</v>
      </c>
      <c r="B53" s="6">
        <v>45142</v>
      </c>
      <c r="C53" s="5" t="s">
        <v>73</v>
      </c>
      <c r="D53" s="5" t="s">
        <v>1</v>
      </c>
      <c r="E53">
        <v>36</v>
      </c>
      <c r="F53" s="5" t="s">
        <v>19</v>
      </c>
      <c r="G53">
        <v>2</v>
      </c>
      <c r="H53" s="11">
        <v>25</v>
      </c>
      <c r="I53" s="11">
        <v>50</v>
      </c>
      <c r="J53" t="s">
        <v>20</v>
      </c>
      <c r="K53" t="s">
        <v>1028</v>
      </c>
      <c r="L53" t="s">
        <v>1038</v>
      </c>
      <c r="M53" t="s">
        <v>1033</v>
      </c>
      <c r="N53">
        <v>8</v>
      </c>
      <c r="O53" t="s">
        <v>1051</v>
      </c>
    </row>
    <row r="54" spans="1:15" x14ac:dyDescent="0.25">
      <c r="A54">
        <v>736</v>
      </c>
      <c r="B54" s="6">
        <v>44953</v>
      </c>
      <c r="C54" s="5" t="s">
        <v>74</v>
      </c>
      <c r="D54" s="5" t="s">
        <v>2</v>
      </c>
      <c r="E54">
        <v>29</v>
      </c>
      <c r="F54" s="5" t="s">
        <v>19</v>
      </c>
      <c r="G54">
        <v>4</v>
      </c>
      <c r="H54" s="11">
        <v>25</v>
      </c>
      <c r="I54" s="11">
        <v>100</v>
      </c>
      <c r="J54" t="s">
        <v>22</v>
      </c>
      <c r="K54" t="s">
        <v>1029</v>
      </c>
      <c r="L54" t="s">
        <v>1038</v>
      </c>
      <c r="M54" t="s">
        <v>1039</v>
      </c>
      <c r="N54">
        <v>1</v>
      </c>
      <c r="O54" t="s">
        <v>1045</v>
      </c>
    </row>
    <row r="55" spans="1:15" x14ac:dyDescent="0.25">
      <c r="A55">
        <v>750</v>
      </c>
      <c r="B55" s="6">
        <v>44991</v>
      </c>
      <c r="C55" s="5" t="s">
        <v>75</v>
      </c>
      <c r="D55" s="5" t="s">
        <v>1</v>
      </c>
      <c r="E55">
        <v>35</v>
      </c>
      <c r="F55" s="5" t="s">
        <v>19</v>
      </c>
      <c r="G55">
        <v>3</v>
      </c>
      <c r="H55" s="11">
        <v>25</v>
      </c>
      <c r="I55" s="11">
        <v>75</v>
      </c>
      <c r="J55" t="s">
        <v>20</v>
      </c>
      <c r="K55" t="s">
        <v>1028</v>
      </c>
      <c r="L55" t="s">
        <v>1038</v>
      </c>
      <c r="M55" t="s">
        <v>1039</v>
      </c>
      <c r="N55">
        <v>3</v>
      </c>
      <c r="O55" t="s">
        <v>1040</v>
      </c>
    </row>
    <row r="56" spans="1:15" x14ac:dyDescent="0.25">
      <c r="A56">
        <v>751</v>
      </c>
      <c r="B56" s="6">
        <v>45169</v>
      </c>
      <c r="C56" s="5" t="s">
        <v>76</v>
      </c>
      <c r="D56" s="5" t="s">
        <v>1</v>
      </c>
      <c r="E56">
        <v>42</v>
      </c>
      <c r="F56" s="5" t="s">
        <v>19</v>
      </c>
      <c r="G56">
        <v>2</v>
      </c>
      <c r="H56" s="11">
        <v>25</v>
      </c>
      <c r="I56" s="11">
        <v>50</v>
      </c>
      <c r="J56" t="s">
        <v>20</v>
      </c>
      <c r="K56" t="s">
        <v>1028</v>
      </c>
      <c r="L56" t="s">
        <v>1038</v>
      </c>
      <c r="M56" t="s">
        <v>1033</v>
      </c>
      <c r="N56">
        <v>8</v>
      </c>
      <c r="O56" t="s">
        <v>1051</v>
      </c>
    </row>
    <row r="57" spans="1:15" x14ac:dyDescent="0.25">
      <c r="A57">
        <v>755</v>
      </c>
      <c r="B57" s="6">
        <v>45038</v>
      </c>
      <c r="C57" s="5" t="s">
        <v>77</v>
      </c>
      <c r="D57" s="5" t="s">
        <v>1</v>
      </c>
      <c r="E57">
        <v>58</v>
      </c>
      <c r="F57" s="5" t="s">
        <v>19</v>
      </c>
      <c r="G57">
        <v>3</v>
      </c>
      <c r="H57" s="11">
        <v>25</v>
      </c>
      <c r="I57" s="11">
        <v>75</v>
      </c>
      <c r="J57" t="s">
        <v>24</v>
      </c>
      <c r="K57" t="s">
        <v>1030</v>
      </c>
      <c r="L57" t="s">
        <v>1038</v>
      </c>
      <c r="M57" t="s">
        <v>1041</v>
      </c>
      <c r="N57">
        <v>4</v>
      </c>
      <c r="O57" t="s">
        <v>1042</v>
      </c>
    </row>
    <row r="58" spans="1:15" x14ac:dyDescent="0.25">
      <c r="A58">
        <v>758</v>
      </c>
      <c r="B58" s="6">
        <v>45058</v>
      </c>
      <c r="C58" s="5" t="s">
        <v>78</v>
      </c>
      <c r="D58" s="5" t="s">
        <v>2</v>
      </c>
      <c r="E58">
        <v>64</v>
      </c>
      <c r="F58" s="5" t="s">
        <v>19</v>
      </c>
      <c r="G58">
        <v>4</v>
      </c>
      <c r="H58" s="11">
        <v>25</v>
      </c>
      <c r="I58" s="11">
        <v>100</v>
      </c>
      <c r="J58" t="s">
        <v>24</v>
      </c>
      <c r="K58" t="s">
        <v>1030</v>
      </c>
      <c r="L58" t="s">
        <v>1038</v>
      </c>
      <c r="M58" t="s">
        <v>1041</v>
      </c>
      <c r="N58">
        <v>5</v>
      </c>
      <c r="O58" t="s">
        <v>1032</v>
      </c>
    </row>
    <row r="59" spans="1:15" x14ac:dyDescent="0.25">
      <c r="A59">
        <v>763</v>
      </c>
      <c r="B59" s="6">
        <v>44985</v>
      </c>
      <c r="C59" s="5" t="s">
        <v>79</v>
      </c>
      <c r="D59" s="5" t="s">
        <v>2</v>
      </c>
      <c r="E59">
        <v>34</v>
      </c>
      <c r="F59" s="5" t="s">
        <v>19</v>
      </c>
      <c r="G59">
        <v>2</v>
      </c>
      <c r="H59" s="11">
        <v>25</v>
      </c>
      <c r="I59" s="11">
        <v>50</v>
      </c>
      <c r="J59" t="s">
        <v>20</v>
      </c>
      <c r="K59" t="s">
        <v>1028</v>
      </c>
      <c r="L59" t="s">
        <v>1038</v>
      </c>
      <c r="M59" t="s">
        <v>1039</v>
      </c>
      <c r="N59">
        <v>2</v>
      </c>
      <c r="O59" t="s">
        <v>1044</v>
      </c>
    </row>
    <row r="60" spans="1:15" x14ac:dyDescent="0.25">
      <c r="A60">
        <v>764</v>
      </c>
      <c r="B60" s="6">
        <v>45010</v>
      </c>
      <c r="C60" s="5" t="s">
        <v>80</v>
      </c>
      <c r="D60" s="5" t="s">
        <v>1</v>
      </c>
      <c r="E60">
        <v>40</v>
      </c>
      <c r="F60" s="5" t="s">
        <v>19</v>
      </c>
      <c r="G60">
        <v>1</v>
      </c>
      <c r="H60" s="11">
        <v>25</v>
      </c>
      <c r="I60" s="11">
        <v>25</v>
      </c>
      <c r="J60" t="s">
        <v>20</v>
      </c>
      <c r="K60" t="s">
        <v>1028</v>
      </c>
      <c r="L60" t="s">
        <v>1038</v>
      </c>
      <c r="M60" t="s">
        <v>1039</v>
      </c>
      <c r="N60">
        <v>3</v>
      </c>
      <c r="O60" t="s">
        <v>1040</v>
      </c>
    </row>
    <row r="61" spans="1:15" x14ac:dyDescent="0.25">
      <c r="A61">
        <v>774</v>
      </c>
      <c r="B61" s="6">
        <v>45028</v>
      </c>
      <c r="C61" s="5" t="s">
        <v>81</v>
      </c>
      <c r="D61" s="5" t="s">
        <v>1</v>
      </c>
      <c r="E61">
        <v>40</v>
      </c>
      <c r="F61" s="5" t="s">
        <v>19</v>
      </c>
      <c r="G61">
        <v>2</v>
      </c>
      <c r="H61" s="11">
        <v>25</v>
      </c>
      <c r="I61" s="11">
        <v>50</v>
      </c>
      <c r="J61" t="s">
        <v>20</v>
      </c>
      <c r="K61" t="s">
        <v>1028</v>
      </c>
      <c r="L61" t="s">
        <v>1038</v>
      </c>
      <c r="M61" t="s">
        <v>1041</v>
      </c>
      <c r="N61">
        <v>4</v>
      </c>
      <c r="O61" t="s">
        <v>1042</v>
      </c>
    </row>
    <row r="62" spans="1:15" x14ac:dyDescent="0.25">
      <c r="A62">
        <v>786</v>
      </c>
      <c r="B62" s="6">
        <v>45216</v>
      </c>
      <c r="C62" s="5" t="s">
        <v>82</v>
      </c>
      <c r="D62" s="5" t="s">
        <v>2</v>
      </c>
      <c r="E62">
        <v>48</v>
      </c>
      <c r="F62" s="5" t="s">
        <v>19</v>
      </c>
      <c r="G62">
        <v>4</v>
      </c>
      <c r="H62" s="11">
        <v>25</v>
      </c>
      <c r="I62" s="11">
        <v>100</v>
      </c>
      <c r="J62" t="s">
        <v>20</v>
      </c>
      <c r="K62" t="s">
        <v>1028</v>
      </c>
      <c r="L62" t="s">
        <v>1038</v>
      </c>
      <c r="M62" t="s">
        <v>1047</v>
      </c>
      <c r="N62">
        <v>10</v>
      </c>
      <c r="O62" t="s">
        <v>1049</v>
      </c>
    </row>
    <row r="63" spans="1:15" x14ac:dyDescent="0.25">
      <c r="A63">
        <v>790</v>
      </c>
      <c r="B63" s="6">
        <v>45146</v>
      </c>
      <c r="C63" s="5" t="s">
        <v>83</v>
      </c>
      <c r="D63" s="5" t="s">
        <v>2</v>
      </c>
      <c r="E63">
        <v>62</v>
      </c>
      <c r="F63" s="5" t="s">
        <v>19</v>
      </c>
      <c r="G63">
        <v>1</v>
      </c>
      <c r="H63" s="11">
        <v>25</v>
      </c>
      <c r="I63" s="11">
        <v>25</v>
      </c>
      <c r="J63" t="s">
        <v>24</v>
      </c>
      <c r="K63" t="s">
        <v>1030</v>
      </c>
      <c r="L63" t="s">
        <v>1038</v>
      </c>
      <c r="M63" t="s">
        <v>1033</v>
      </c>
      <c r="N63">
        <v>8</v>
      </c>
      <c r="O63" t="s">
        <v>1051</v>
      </c>
    </row>
    <row r="64" spans="1:15" x14ac:dyDescent="0.25">
      <c r="A64">
        <v>797</v>
      </c>
      <c r="B64" s="6">
        <v>44933</v>
      </c>
      <c r="C64" s="5" t="s">
        <v>84</v>
      </c>
      <c r="D64" s="5" t="s">
        <v>2</v>
      </c>
      <c r="E64">
        <v>40</v>
      </c>
      <c r="F64" s="5" t="s">
        <v>19</v>
      </c>
      <c r="G64">
        <v>3</v>
      </c>
      <c r="H64" s="11">
        <v>25</v>
      </c>
      <c r="I64" s="11">
        <v>75</v>
      </c>
      <c r="J64" t="s">
        <v>20</v>
      </c>
      <c r="K64" t="s">
        <v>1028</v>
      </c>
      <c r="L64" t="s">
        <v>1038</v>
      </c>
      <c r="M64" t="s">
        <v>1039</v>
      </c>
      <c r="N64">
        <v>1</v>
      </c>
      <c r="O64" t="s">
        <v>1045</v>
      </c>
    </row>
    <row r="65" spans="1:15" x14ac:dyDescent="0.25">
      <c r="A65">
        <v>803</v>
      </c>
      <c r="B65" s="6">
        <v>45252</v>
      </c>
      <c r="C65" s="5" t="s">
        <v>85</v>
      </c>
      <c r="D65" s="5" t="s">
        <v>2</v>
      </c>
      <c r="E65">
        <v>39</v>
      </c>
      <c r="F65" s="5" t="s">
        <v>19</v>
      </c>
      <c r="G65">
        <v>4</v>
      </c>
      <c r="H65" s="11">
        <v>25</v>
      </c>
      <c r="I65" s="11">
        <v>100</v>
      </c>
      <c r="J65" t="s">
        <v>20</v>
      </c>
      <c r="K65" t="s">
        <v>1028</v>
      </c>
      <c r="L65" t="s">
        <v>1038</v>
      </c>
      <c r="M65" t="s">
        <v>1047</v>
      </c>
      <c r="N65">
        <v>11</v>
      </c>
      <c r="O65" t="s">
        <v>1048</v>
      </c>
    </row>
    <row r="66" spans="1:15" x14ac:dyDescent="0.25">
      <c r="A66">
        <v>815</v>
      </c>
      <c r="B66" s="6">
        <v>45165</v>
      </c>
      <c r="C66" s="5" t="s">
        <v>86</v>
      </c>
      <c r="D66" s="5" t="s">
        <v>1</v>
      </c>
      <c r="E66">
        <v>51</v>
      </c>
      <c r="F66" s="5" t="s">
        <v>19</v>
      </c>
      <c r="G66">
        <v>3</v>
      </c>
      <c r="H66" s="11">
        <v>25</v>
      </c>
      <c r="I66" s="11">
        <v>75</v>
      </c>
      <c r="J66" t="s">
        <v>20</v>
      </c>
      <c r="K66" t="s">
        <v>1028</v>
      </c>
      <c r="L66" t="s">
        <v>1038</v>
      </c>
      <c r="M66" t="s">
        <v>1033</v>
      </c>
      <c r="N66">
        <v>8</v>
      </c>
      <c r="O66" t="s">
        <v>1051</v>
      </c>
    </row>
    <row r="67" spans="1:15" x14ac:dyDescent="0.25">
      <c r="A67">
        <v>840</v>
      </c>
      <c r="B67" s="6">
        <v>45070</v>
      </c>
      <c r="C67" s="5" t="s">
        <v>87</v>
      </c>
      <c r="D67" s="5" t="s">
        <v>2</v>
      </c>
      <c r="E67">
        <v>62</v>
      </c>
      <c r="F67" s="5" t="s">
        <v>19</v>
      </c>
      <c r="G67">
        <v>2</v>
      </c>
      <c r="H67" s="11">
        <v>25</v>
      </c>
      <c r="I67" s="11">
        <v>50</v>
      </c>
      <c r="J67" t="s">
        <v>24</v>
      </c>
      <c r="K67" t="s">
        <v>1030</v>
      </c>
      <c r="L67" t="s">
        <v>1038</v>
      </c>
      <c r="M67" t="s">
        <v>1041</v>
      </c>
      <c r="N67">
        <v>5</v>
      </c>
      <c r="O67" t="s">
        <v>1032</v>
      </c>
    </row>
    <row r="68" spans="1:15" x14ac:dyDescent="0.25">
      <c r="A68">
        <v>848</v>
      </c>
      <c r="B68" s="6">
        <v>44970</v>
      </c>
      <c r="C68" s="5" t="s">
        <v>88</v>
      </c>
      <c r="D68" s="5" t="s">
        <v>1</v>
      </c>
      <c r="E68">
        <v>63</v>
      </c>
      <c r="F68" s="5" t="s">
        <v>19</v>
      </c>
      <c r="G68">
        <v>3</v>
      </c>
      <c r="H68" s="11">
        <v>25</v>
      </c>
      <c r="I68" s="11">
        <v>75</v>
      </c>
      <c r="J68" t="s">
        <v>24</v>
      </c>
      <c r="K68" t="s">
        <v>1030</v>
      </c>
      <c r="L68" t="s">
        <v>1038</v>
      </c>
      <c r="M68" t="s">
        <v>1039</v>
      </c>
      <c r="N68">
        <v>2</v>
      </c>
      <c r="O68" t="s">
        <v>1044</v>
      </c>
    </row>
    <row r="69" spans="1:15" x14ac:dyDescent="0.25">
      <c r="A69">
        <v>849</v>
      </c>
      <c r="B69" s="6">
        <v>45050</v>
      </c>
      <c r="C69" s="5" t="s">
        <v>89</v>
      </c>
      <c r="D69" s="5" t="s">
        <v>2</v>
      </c>
      <c r="E69">
        <v>32</v>
      </c>
      <c r="F69" s="5" t="s">
        <v>19</v>
      </c>
      <c r="G69">
        <v>2</v>
      </c>
      <c r="H69" s="11">
        <v>25</v>
      </c>
      <c r="I69" s="11">
        <v>50</v>
      </c>
      <c r="J69" t="s">
        <v>20</v>
      </c>
      <c r="K69" t="s">
        <v>1028</v>
      </c>
      <c r="L69" t="s">
        <v>1038</v>
      </c>
      <c r="M69" t="s">
        <v>1041</v>
      </c>
      <c r="N69">
        <v>5</v>
      </c>
      <c r="O69" t="s">
        <v>1032</v>
      </c>
    </row>
    <row r="70" spans="1:15" x14ac:dyDescent="0.25">
      <c r="A70">
        <v>877</v>
      </c>
      <c r="B70" s="6">
        <v>45096</v>
      </c>
      <c r="C70" s="5" t="s">
        <v>90</v>
      </c>
      <c r="D70" s="5" t="s">
        <v>1</v>
      </c>
      <c r="E70">
        <v>58</v>
      </c>
      <c r="F70" s="5" t="s">
        <v>19</v>
      </c>
      <c r="G70">
        <v>1</v>
      </c>
      <c r="H70" s="11">
        <v>25</v>
      </c>
      <c r="I70" s="11">
        <v>25</v>
      </c>
      <c r="J70" t="s">
        <v>24</v>
      </c>
      <c r="K70" t="s">
        <v>1030</v>
      </c>
      <c r="L70" t="s">
        <v>1038</v>
      </c>
      <c r="M70" t="s">
        <v>1041</v>
      </c>
      <c r="N70">
        <v>6</v>
      </c>
      <c r="O70" t="s">
        <v>1050</v>
      </c>
    </row>
    <row r="71" spans="1:15" x14ac:dyDescent="0.25">
      <c r="A71">
        <v>887</v>
      </c>
      <c r="B71" s="6">
        <v>45088</v>
      </c>
      <c r="C71" s="5" t="s">
        <v>91</v>
      </c>
      <c r="D71" s="5" t="s">
        <v>2</v>
      </c>
      <c r="E71">
        <v>59</v>
      </c>
      <c r="F71" s="5" t="s">
        <v>19</v>
      </c>
      <c r="G71">
        <v>4</v>
      </c>
      <c r="H71" s="11">
        <v>25</v>
      </c>
      <c r="I71" s="11">
        <v>100</v>
      </c>
      <c r="J71" t="s">
        <v>24</v>
      </c>
      <c r="K71" t="s">
        <v>1030</v>
      </c>
      <c r="L71" t="s">
        <v>1038</v>
      </c>
      <c r="M71" t="s">
        <v>1041</v>
      </c>
      <c r="N71">
        <v>6</v>
      </c>
      <c r="O71" t="s">
        <v>1050</v>
      </c>
    </row>
    <row r="72" spans="1:15" x14ac:dyDescent="0.25">
      <c r="A72">
        <v>941</v>
      </c>
      <c r="B72" s="6">
        <v>45004</v>
      </c>
      <c r="C72" s="5" t="s">
        <v>92</v>
      </c>
      <c r="D72" s="5" t="s">
        <v>1</v>
      </c>
      <c r="E72">
        <v>57</v>
      </c>
      <c r="F72" s="5" t="s">
        <v>19</v>
      </c>
      <c r="G72">
        <v>2</v>
      </c>
      <c r="H72" s="11">
        <v>25</v>
      </c>
      <c r="I72" s="11">
        <v>50</v>
      </c>
      <c r="J72" t="s">
        <v>24</v>
      </c>
      <c r="K72" t="s">
        <v>1030</v>
      </c>
      <c r="L72" t="s">
        <v>1038</v>
      </c>
      <c r="M72" t="s">
        <v>1039</v>
      </c>
      <c r="N72">
        <v>3</v>
      </c>
      <c r="O72" t="s">
        <v>1040</v>
      </c>
    </row>
    <row r="73" spans="1:15" x14ac:dyDescent="0.25">
      <c r="A73">
        <v>944</v>
      </c>
      <c r="B73" s="6">
        <v>45082</v>
      </c>
      <c r="C73" s="5" t="s">
        <v>93</v>
      </c>
      <c r="D73" s="5" t="s">
        <v>2</v>
      </c>
      <c r="E73">
        <v>44</v>
      </c>
      <c r="F73" s="5" t="s">
        <v>19</v>
      </c>
      <c r="G73">
        <v>2</v>
      </c>
      <c r="H73" s="11">
        <v>25</v>
      </c>
      <c r="I73" s="11">
        <v>50</v>
      </c>
      <c r="J73" t="s">
        <v>20</v>
      </c>
      <c r="K73" t="s">
        <v>1028</v>
      </c>
      <c r="L73" t="s">
        <v>1038</v>
      </c>
      <c r="M73" t="s">
        <v>1041</v>
      </c>
      <c r="N73">
        <v>6</v>
      </c>
      <c r="O73" t="s">
        <v>1050</v>
      </c>
    </row>
    <row r="74" spans="1:15" x14ac:dyDescent="0.25">
      <c r="A74">
        <v>952</v>
      </c>
      <c r="B74" s="6">
        <v>45243</v>
      </c>
      <c r="C74" s="5" t="s">
        <v>94</v>
      </c>
      <c r="D74" s="5" t="s">
        <v>1</v>
      </c>
      <c r="E74">
        <v>57</v>
      </c>
      <c r="F74" s="5" t="s">
        <v>19</v>
      </c>
      <c r="G74">
        <v>1</v>
      </c>
      <c r="H74" s="11">
        <v>25</v>
      </c>
      <c r="I74" s="11">
        <v>25</v>
      </c>
      <c r="J74" t="s">
        <v>24</v>
      </c>
      <c r="K74" t="s">
        <v>1030</v>
      </c>
      <c r="L74" t="s">
        <v>1038</v>
      </c>
      <c r="M74" t="s">
        <v>1047</v>
      </c>
      <c r="N74">
        <v>11</v>
      </c>
      <c r="O74" t="s">
        <v>1048</v>
      </c>
    </row>
    <row r="75" spans="1:15" x14ac:dyDescent="0.25">
      <c r="A75">
        <v>955</v>
      </c>
      <c r="B75" s="6">
        <v>45121</v>
      </c>
      <c r="C75" s="5" t="s">
        <v>95</v>
      </c>
      <c r="D75" s="5" t="s">
        <v>2</v>
      </c>
      <c r="E75">
        <v>58</v>
      </c>
      <c r="F75" s="5" t="s">
        <v>19</v>
      </c>
      <c r="G75">
        <v>1</v>
      </c>
      <c r="H75" s="11">
        <v>25</v>
      </c>
      <c r="I75" s="11">
        <v>25</v>
      </c>
      <c r="J75" t="s">
        <v>24</v>
      </c>
      <c r="K75" t="s">
        <v>1030</v>
      </c>
      <c r="L75" t="s">
        <v>1038</v>
      </c>
      <c r="M75" t="s">
        <v>1033</v>
      </c>
      <c r="N75">
        <v>7</v>
      </c>
      <c r="O75" t="s">
        <v>1046</v>
      </c>
    </row>
    <row r="76" spans="1:15" x14ac:dyDescent="0.25">
      <c r="A76">
        <v>988</v>
      </c>
      <c r="B76" s="6">
        <v>45074</v>
      </c>
      <c r="C76" s="5" t="s">
        <v>96</v>
      </c>
      <c r="D76" s="5" t="s">
        <v>1</v>
      </c>
      <c r="E76">
        <v>63</v>
      </c>
      <c r="F76" s="5" t="s">
        <v>19</v>
      </c>
      <c r="G76">
        <v>3</v>
      </c>
      <c r="H76" s="11">
        <v>25</v>
      </c>
      <c r="I76" s="11">
        <v>75</v>
      </c>
      <c r="J76" t="s">
        <v>24</v>
      </c>
      <c r="K76" t="s">
        <v>1030</v>
      </c>
      <c r="L76" t="s">
        <v>1038</v>
      </c>
      <c r="M76" t="s">
        <v>1041</v>
      </c>
      <c r="N76">
        <v>5</v>
      </c>
      <c r="O76" t="s">
        <v>1032</v>
      </c>
    </row>
    <row r="77" spans="1:15" x14ac:dyDescent="0.25">
      <c r="A77">
        <v>10</v>
      </c>
      <c r="B77" s="6">
        <v>45206</v>
      </c>
      <c r="C77" s="5" t="s">
        <v>97</v>
      </c>
      <c r="D77" s="5" t="s">
        <v>1</v>
      </c>
      <c r="E77">
        <v>52</v>
      </c>
      <c r="F77" s="5" t="s">
        <v>19</v>
      </c>
      <c r="G77">
        <v>4</v>
      </c>
      <c r="H77" s="11">
        <v>50</v>
      </c>
      <c r="I77" s="11">
        <v>200</v>
      </c>
      <c r="J77" t="s">
        <v>20</v>
      </c>
      <c r="K77" t="s">
        <v>1028</v>
      </c>
      <c r="L77" t="s">
        <v>1038</v>
      </c>
      <c r="M77" t="s">
        <v>1047</v>
      </c>
      <c r="N77">
        <v>10</v>
      </c>
      <c r="O77" t="s">
        <v>1049</v>
      </c>
    </row>
    <row r="78" spans="1:15" x14ac:dyDescent="0.25">
      <c r="A78">
        <v>11</v>
      </c>
      <c r="B78" s="6">
        <v>44971</v>
      </c>
      <c r="C78" s="5" t="s">
        <v>98</v>
      </c>
      <c r="D78" s="5" t="s">
        <v>2</v>
      </c>
      <c r="E78">
        <v>23</v>
      </c>
      <c r="F78" s="5" t="s">
        <v>19</v>
      </c>
      <c r="G78">
        <v>2</v>
      </c>
      <c r="H78" s="11">
        <v>50</v>
      </c>
      <c r="I78" s="11">
        <v>100</v>
      </c>
      <c r="J78" t="s">
        <v>22</v>
      </c>
      <c r="K78" t="s">
        <v>1029</v>
      </c>
      <c r="L78" t="s">
        <v>1038</v>
      </c>
      <c r="M78" t="s">
        <v>1039</v>
      </c>
      <c r="N78">
        <v>2</v>
      </c>
      <c r="O78" t="s">
        <v>1044</v>
      </c>
    </row>
    <row r="79" spans="1:15" x14ac:dyDescent="0.25">
      <c r="A79">
        <v>22</v>
      </c>
      <c r="B79" s="6">
        <v>45214</v>
      </c>
      <c r="C79" s="5" t="s">
        <v>99</v>
      </c>
      <c r="D79" s="5" t="s">
        <v>2</v>
      </c>
      <c r="E79">
        <v>18</v>
      </c>
      <c r="F79" s="5" t="s">
        <v>19</v>
      </c>
      <c r="G79">
        <v>2</v>
      </c>
      <c r="H79" s="11">
        <v>50</v>
      </c>
      <c r="I79" s="11">
        <v>100</v>
      </c>
      <c r="J79" t="s">
        <v>22</v>
      </c>
      <c r="K79" t="s">
        <v>1029</v>
      </c>
      <c r="L79" t="s">
        <v>1038</v>
      </c>
      <c r="M79" t="s">
        <v>1047</v>
      </c>
      <c r="N79">
        <v>10</v>
      </c>
      <c r="O79" t="s">
        <v>1049</v>
      </c>
    </row>
    <row r="80" spans="1:15" x14ac:dyDescent="0.25">
      <c r="A80">
        <v>34</v>
      </c>
      <c r="B80" s="6">
        <v>45284</v>
      </c>
      <c r="C80" s="5" t="s">
        <v>100</v>
      </c>
      <c r="D80" s="5" t="s">
        <v>1</v>
      </c>
      <c r="E80">
        <v>51</v>
      </c>
      <c r="F80" s="5" t="s">
        <v>19</v>
      </c>
      <c r="G80">
        <v>3</v>
      </c>
      <c r="H80" s="11">
        <v>50</v>
      </c>
      <c r="I80" s="11">
        <v>150</v>
      </c>
      <c r="J80" t="s">
        <v>20</v>
      </c>
      <c r="K80" t="s">
        <v>1028</v>
      </c>
      <c r="L80" t="s">
        <v>1038</v>
      </c>
      <c r="M80" t="s">
        <v>1047</v>
      </c>
      <c r="N80">
        <v>12</v>
      </c>
      <c r="O80" t="s">
        <v>1052</v>
      </c>
    </row>
    <row r="81" spans="1:15" x14ac:dyDescent="0.25">
      <c r="A81">
        <v>59</v>
      </c>
      <c r="B81" s="6">
        <v>45112</v>
      </c>
      <c r="C81" s="5" t="s">
        <v>101</v>
      </c>
      <c r="D81" s="5" t="s">
        <v>2</v>
      </c>
      <c r="E81">
        <v>62</v>
      </c>
      <c r="F81" s="5" t="s">
        <v>19</v>
      </c>
      <c r="G81">
        <v>1</v>
      </c>
      <c r="H81" s="11">
        <v>50</v>
      </c>
      <c r="I81" s="11">
        <v>50</v>
      </c>
      <c r="J81" t="s">
        <v>24</v>
      </c>
      <c r="K81" t="s">
        <v>1030</v>
      </c>
      <c r="L81" t="s">
        <v>1038</v>
      </c>
      <c r="M81" t="s">
        <v>1033</v>
      </c>
      <c r="N81">
        <v>7</v>
      </c>
      <c r="O81" t="s">
        <v>1046</v>
      </c>
    </row>
    <row r="82" spans="1:15" x14ac:dyDescent="0.25">
      <c r="A82">
        <v>77</v>
      </c>
      <c r="B82" s="6">
        <v>45116</v>
      </c>
      <c r="C82" s="5" t="s">
        <v>102</v>
      </c>
      <c r="D82" s="5" t="s">
        <v>1</v>
      </c>
      <c r="E82">
        <v>47</v>
      </c>
      <c r="F82" s="5" t="s">
        <v>19</v>
      </c>
      <c r="G82">
        <v>2</v>
      </c>
      <c r="H82" s="11">
        <v>50</v>
      </c>
      <c r="I82" s="11">
        <v>100</v>
      </c>
      <c r="J82" t="s">
        <v>20</v>
      </c>
      <c r="K82" t="s">
        <v>1028</v>
      </c>
      <c r="L82" t="s">
        <v>1038</v>
      </c>
      <c r="M82" t="s">
        <v>1033</v>
      </c>
      <c r="N82">
        <v>7</v>
      </c>
      <c r="O82" t="s">
        <v>1046</v>
      </c>
    </row>
    <row r="83" spans="1:15" x14ac:dyDescent="0.25">
      <c r="A83">
        <v>85</v>
      </c>
      <c r="B83" s="6">
        <v>44963</v>
      </c>
      <c r="C83" s="5" t="s">
        <v>103</v>
      </c>
      <c r="D83" s="5" t="s">
        <v>2</v>
      </c>
      <c r="E83">
        <v>31</v>
      </c>
      <c r="F83" s="5" t="s">
        <v>19</v>
      </c>
      <c r="G83">
        <v>3</v>
      </c>
      <c r="H83" s="11">
        <v>50</v>
      </c>
      <c r="I83" s="11">
        <v>150</v>
      </c>
      <c r="J83" t="s">
        <v>20</v>
      </c>
      <c r="K83" t="s">
        <v>1028</v>
      </c>
      <c r="L83" t="s">
        <v>1038</v>
      </c>
      <c r="M83" t="s">
        <v>1039</v>
      </c>
      <c r="N83">
        <v>2</v>
      </c>
      <c r="O83" t="s">
        <v>1044</v>
      </c>
    </row>
    <row r="84" spans="1:15" x14ac:dyDescent="0.25">
      <c r="A84">
        <v>106</v>
      </c>
      <c r="B84" s="6">
        <v>45064</v>
      </c>
      <c r="C84" s="5" t="s">
        <v>104</v>
      </c>
      <c r="D84" s="5" t="s">
        <v>1</v>
      </c>
      <c r="E84">
        <v>46</v>
      </c>
      <c r="F84" s="5" t="s">
        <v>19</v>
      </c>
      <c r="G84">
        <v>1</v>
      </c>
      <c r="H84" s="11">
        <v>50</v>
      </c>
      <c r="I84" s="11">
        <v>50</v>
      </c>
      <c r="J84" t="s">
        <v>20</v>
      </c>
      <c r="K84" t="s">
        <v>1028</v>
      </c>
      <c r="L84" t="s">
        <v>1038</v>
      </c>
      <c r="M84" t="s">
        <v>1041</v>
      </c>
      <c r="N84">
        <v>5</v>
      </c>
      <c r="O84" t="s">
        <v>1032</v>
      </c>
    </row>
    <row r="85" spans="1:15" x14ac:dyDescent="0.25">
      <c r="A85">
        <v>119</v>
      </c>
      <c r="B85" s="6">
        <v>44998</v>
      </c>
      <c r="C85" s="5" t="s">
        <v>105</v>
      </c>
      <c r="D85" s="5" t="s">
        <v>1</v>
      </c>
      <c r="E85">
        <v>60</v>
      </c>
      <c r="F85" s="5" t="s">
        <v>19</v>
      </c>
      <c r="G85">
        <v>3</v>
      </c>
      <c r="H85" s="11">
        <v>50</v>
      </c>
      <c r="I85" s="11">
        <v>150</v>
      </c>
      <c r="J85" t="s">
        <v>24</v>
      </c>
      <c r="K85" t="s">
        <v>1030</v>
      </c>
      <c r="L85" t="s">
        <v>1038</v>
      </c>
      <c r="M85" t="s">
        <v>1039</v>
      </c>
      <c r="N85">
        <v>3</v>
      </c>
      <c r="O85" t="s">
        <v>1040</v>
      </c>
    </row>
    <row r="86" spans="1:15" x14ac:dyDescent="0.25">
      <c r="A86">
        <v>125</v>
      </c>
      <c r="B86" s="6">
        <v>45146</v>
      </c>
      <c r="C86" s="5" t="s">
        <v>106</v>
      </c>
      <c r="D86" s="5" t="s">
        <v>2</v>
      </c>
      <c r="E86">
        <v>48</v>
      </c>
      <c r="F86" s="5" t="s">
        <v>19</v>
      </c>
      <c r="G86">
        <v>2</v>
      </c>
      <c r="H86" s="11">
        <v>50</v>
      </c>
      <c r="I86" s="11">
        <v>100</v>
      </c>
      <c r="J86" t="s">
        <v>20</v>
      </c>
      <c r="K86" t="s">
        <v>1028</v>
      </c>
      <c r="L86" t="s">
        <v>1038</v>
      </c>
      <c r="M86" t="s">
        <v>1033</v>
      </c>
      <c r="N86">
        <v>8</v>
      </c>
      <c r="O86" t="s">
        <v>1051</v>
      </c>
    </row>
    <row r="87" spans="1:15" x14ac:dyDescent="0.25">
      <c r="A87">
        <v>138</v>
      </c>
      <c r="B87" s="6">
        <v>45008</v>
      </c>
      <c r="C87" s="5" t="s">
        <v>107</v>
      </c>
      <c r="D87" s="5" t="s">
        <v>2</v>
      </c>
      <c r="E87">
        <v>49</v>
      </c>
      <c r="F87" s="5" t="s">
        <v>19</v>
      </c>
      <c r="G87">
        <v>4</v>
      </c>
      <c r="H87" s="11">
        <v>50</v>
      </c>
      <c r="I87" s="11">
        <v>200</v>
      </c>
      <c r="J87" t="s">
        <v>20</v>
      </c>
      <c r="K87" t="s">
        <v>1028</v>
      </c>
      <c r="L87" t="s">
        <v>1038</v>
      </c>
      <c r="M87" t="s">
        <v>1039</v>
      </c>
      <c r="N87">
        <v>3</v>
      </c>
      <c r="O87" t="s">
        <v>1040</v>
      </c>
    </row>
    <row r="88" spans="1:15" x14ac:dyDescent="0.25">
      <c r="A88">
        <v>143</v>
      </c>
      <c r="B88" s="6">
        <v>45124</v>
      </c>
      <c r="C88" s="5" t="s">
        <v>108</v>
      </c>
      <c r="D88" s="5" t="s">
        <v>1</v>
      </c>
      <c r="E88">
        <v>45</v>
      </c>
      <c r="F88" s="5" t="s">
        <v>19</v>
      </c>
      <c r="G88">
        <v>1</v>
      </c>
      <c r="H88" s="11">
        <v>50</v>
      </c>
      <c r="I88" s="11">
        <v>50</v>
      </c>
      <c r="J88" t="s">
        <v>20</v>
      </c>
      <c r="K88" t="s">
        <v>1028</v>
      </c>
      <c r="L88" t="s">
        <v>1038</v>
      </c>
      <c r="M88" t="s">
        <v>1033</v>
      </c>
      <c r="N88">
        <v>7</v>
      </c>
      <c r="O88" t="s">
        <v>1046</v>
      </c>
    </row>
    <row r="89" spans="1:15" x14ac:dyDescent="0.25">
      <c r="A89">
        <v>146</v>
      </c>
      <c r="B89" s="6">
        <v>45166</v>
      </c>
      <c r="C89" s="5" t="s">
        <v>109</v>
      </c>
      <c r="D89" s="5" t="s">
        <v>2</v>
      </c>
      <c r="E89">
        <v>38</v>
      </c>
      <c r="F89" s="5" t="s">
        <v>19</v>
      </c>
      <c r="G89">
        <v>4</v>
      </c>
      <c r="H89" s="11">
        <v>50</v>
      </c>
      <c r="I89" s="11">
        <v>200</v>
      </c>
      <c r="J89" t="s">
        <v>20</v>
      </c>
      <c r="K89" t="s">
        <v>1028</v>
      </c>
      <c r="L89" t="s">
        <v>1038</v>
      </c>
      <c r="M89" t="s">
        <v>1033</v>
      </c>
      <c r="N89">
        <v>8</v>
      </c>
      <c r="O89" t="s">
        <v>1051</v>
      </c>
    </row>
    <row r="90" spans="1:15" x14ac:dyDescent="0.25">
      <c r="A90">
        <v>151</v>
      </c>
      <c r="B90" s="6">
        <v>45275</v>
      </c>
      <c r="C90" s="5" t="s">
        <v>110</v>
      </c>
      <c r="D90" s="5" t="s">
        <v>2</v>
      </c>
      <c r="E90">
        <v>29</v>
      </c>
      <c r="F90" s="5" t="s">
        <v>19</v>
      </c>
      <c r="G90">
        <v>1</v>
      </c>
      <c r="H90" s="11">
        <v>50</v>
      </c>
      <c r="I90" s="11">
        <v>50</v>
      </c>
      <c r="J90" t="s">
        <v>22</v>
      </c>
      <c r="K90" t="s">
        <v>1029</v>
      </c>
      <c r="L90" t="s">
        <v>1038</v>
      </c>
      <c r="M90" t="s">
        <v>1047</v>
      </c>
      <c r="N90">
        <v>12</v>
      </c>
      <c r="O90" t="s">
        <v>1052</v>
      </c>
    </row>
    <row r="91" spans="1:15" x14ac:dyDescent="0.25">
      <c r="A91">
        <v>159</v>
      </c>
      <c r="B91" s="6">
        <v>45077</v>
      </c>
      <c r="C91" s="5" t="s">
        <v>111</v>
      </c>
      <c r="D91" s="5" t="s">
        <v>2</v>
      </c>
      <c r="E91">
        <v>26</v>
      </c>
      <c r="F91" s="5" t="s">
        <v>19</v>
      </c>
      <c r="G91">
        <v>4</v>
      </c>
      <c r="H91" s="11">
        <v>50</v>
      </c>
      <c r="I91" s="11">
        <v>200</v>
      </c>
      <c r="J91" t="s">
        <v>22</v>
      </c>
      <c r="K91" t="s">
        <v>1029</v>
      </c>
      <c r="L91" t="s">
        <v>1038</v>
      </c>
      <c r="M91" t="s">
        <v>1041</v>
      </c>
      <c r="N91">
        <v>5</v>
      </c>
      <c r="O91" t="s">
        <v>1032</v>
      </c>
    </row>
    <row r="92" spans="1:15" x14ac:dyDescent="0.25">
      <c r="A92">
        <v>160</v>
      </c>
      <c r="B92" s="6">
        <v>45149</v>
      </c>
      <c r="C92" s="5" t="s">
        <v>112</v>
      </c>
      <c r="D92" s="5" t="s">
        <v>1</v>
      </c>
      <c r="E92">
        <v>43</v>
      </c>
      <c r="F92" s="5" t="s">
        <v>19</v>
      </c>
      <c r="G92">
        <v>2</v>
      </c>
      <c r="H92" s="11">
        <v>50</v>
      </c>
      <c r="I92" s="11">
        <v>100</v>
      </c>
      <c r="J92" t="s">
        <v>20</v>
      </c>
      <c r="K92" t="s">
        <v>1028</v>
      </c>
      <c r="L92" t="s">
        <v>1038</v>
      </c>
      <c r="M92" t="s">
        <v>1033</v>
      </c>
      <c r="N92">
        <v>8</v>
      </c>
      <c r="O92" t="s">
        <v>1051</v>
      </c>
    </row>
    <row r="93" spans="1:15" x14ac:dyDescent="0.25">
      <c r="A93">
        <v>163</v>
      </c>
      <c r="B93" s="6">
        <v>44928</v>
      </c>
      <c r="C93" s="5" t="s">
        <v>113</v>
      </c>
      <c r="D93" s="5" t="s">
        <v>1</v>
      </c>
      <c r="E93">
        <v>64</v>
      </c>
      <c r="F93" s="5" t="s">
        <v>19</v>
      </c>
      <c r="G93">
        <v>3</v>
      </c>
      <c r="H93" s="11">
        <v>50</v>
      </c>
      <c r="I93" s="11">
        <v>150</v>
      </c>
      <c r="J93" t="s">
        <v>24</v>
      </c>
      <c r="K93" t="s">
        <v>1030</v>
      </c>
      <c r="L93" t="s">
        <v>1038</v>
      </c>
      <c r="M93" t="s">
        <v>1039</v>
      </c>
      <c r="N93">
        <v>1</v>
      </c>
      <c r="O93" t="s">
        <v>1045</v>
      </c>
    </row>
    <row r="94" spans="1:15" x14ac:dyDescent="0.25">
      <c r="A94">
        <v>167</v>
      </c>
      <c r="B94" s="6">
        <v>45186</v>
      </c>
      <c r="C94" s="5" t="s">
        <v>114</v>
      </c>
      <c r="D94" s="5" t="s">
        <v>1</v>
      </c>
      <c r="E94">
        <v>43</v>
      </c>
      <c r="F94" s="5" t="s">
        <v>19</v>
      </c>
      <c r="G94">
        <v>3</v>
      </c>
      <c r="H94" s="11">
        <v>50</v>
      </c>
      <c r="I94" s="11">
        <v>150</v>
      </c>
      <c r="J94" t="s">
        <v>20</v>
      </c>
      <c r="K94" t="s">
        <v>1028</v>
      </c>
      <c r="L94" t="s">
        <v>1038</v>
      </c>
      <c r="M94" t="s">
        <v>1033</v>
      </c>
      <c r="N94">
        <v>9</v>
      </c>
      <c r="O94" t="s">
        <v>1043</v>
      </c>
    </row>
    <row r="95" spans="1:15" x14ac:dyDescent="0.25">
      <c r="A95">
        <v>186</v>
      </c>
      <c r="B95" s="6">
        <v>45112</v>
      </c>
      <c r="C95" s="5" t="s">
        <v>115</v>
      </c>
      <c r="D95" s="5" t="s">
        <v>2</v>
      </c>
      <c r="E95">
        <v>20</v>
      </c>
      <c r="F95" s="5" t="s">
        <v>19</v>
      </c>
      <c r="G95">
        <v>4</v>
      </c>
      <c r="H95" s="11">
        <v>50</v>
      </c>
      <c r="I95" s="11">
        <v>200</v>
      </c>
      <c r="J95" t="s">
        <v>22</v>
      </c>
      <c r="K95" t="s">
        <v>1029</v>
      </c>
      <c r="L95" t="s">
        <v>1038</v>
      </c>
      <c r="M95" t="s">
        <v>1033</v>
      </c>
      <c r="N95">
        <v>7</v>
      </c>
      <c r="O95" t="s">
        <v>1046</v>
      </c>
    </row>
    <row r="96" spans="1:15" x14ac:dyDescent="0.25">
      <c r="A96">
        <v>187</v>
      </c>
      <c r="B96" s="6">
        <v>45084</v>
      </c>
      <c r="C96" s="5" t="s">
        <v>116</v>
      </c>
      <c r="D96" s="5" t="s">
        <v>1</v>
      </c>
      <c r="E96">
        <v>64</v>
      </c>
      <c r="F96" s="5" t="s">
        <v>19</v>
      </c>
      <c r="G96">
        <v>2</v>
      </c>
      <c r="H96" s="11">
        <v>50</v>
      </c>
      <c r="I96" s="11">
        <v>100</v>
      </c>
      <c r="J96" t="s">
        <v>24</v>
      </c>
      <c r="K96" t="s">
        <v>1030</v>
      </c>
      <c r="L96" t="s">
        <v>1038</v>
      </c>
      <c r="M96" t="s">
        <v>1041</v>
      </c>
      <c r="N96">
        <v>6</v>
      </c>
      <c r="O96" t="s">
        <v>1050</v>
      </c>
    </row>
    <row r="97" spans="1:15" x14ac:dyDescent="0.25">
      <c r="A97">
        <v>194</v>
      </c>
      <c r="B97" s="6">
        <v>45175</v>
      </c>
      <c r="C97" s="5" t="s">
        <v>117</v>
      </c>
      <c r="D97" s="5" t="s">
        <v>2</v>
      </c>
      <c r="E97">
        <v>55</v>
      </c>
      <c r="F97" s="5" t="s">
        <v>19</v>
      </c>
      <c r="G97">
        <v>4</v>
      </c>
      <c r="H97" s="11">
        <v>50</v>
      </c>
      <c r="I97" s="11">
        <v>200</v>
      </c>
      <c r="J97" t="s">
        <v>20</v>
      </c>
      <c r="K97" t="s">
        <v>1028</v>
      </c>
      <c r="L97" t="s">
        <v>1038</v>
      </c>
      <c r="M97" t="s">
        <v>1033</v>
      </c>
      <c r="N97">
        <v>9</v>
      </c>
      <c r="O97" t="s">
        <v>1043</v>
      </c>
    </row>
    <row r="98" spans="1:15" x14ac:dyDescent="0.25">
      <c r="A98">
        <v>197</v>
      </c>
      <c r="B98" s="6">
        <v>44991</v>
      </c>
      <c r="C98" s="5" t="s">
        <v>118</v>
      </c>
      <c r="D98" s="5" t="s">
        <v>1</v>
      </c>
      <c r="E98">
        <v>42</v>
      </c>
      <c r="F98" s="5" t="s">
        <v>19</v>
      </c>
      <c r="G98">
        <v>4</v>
      </c>
      <c r="H98" s="11">
        <v>50</v>
      </c>
      <c r="I98" s="11">
        <v>200</v>
      </c>
      <c r="J98" t="s">
        <v>20</v>
      </c>
      <c r="K98" t="s">
        <v>1028</v>
      </c>
      <c r="L98" t="s">
        <v>1038</v>
      </c>
      <c r="M98" t="s">
        <v>1039</v>
      </c>
      <c r="N98">
        <v>3</v>
      </c>
      <c r="O98" t="s">
        <v>1040</v>
      </c>
    </row>
    <row r="99" spans="1:15" x14ac:dyDescent="0.25">
      <c r="A99">
        <v>224</v>
      </c>
      <c r="B99" s="6">
        <v>45100</v>
      </c>
      <c r="C99" s="5" t="s">
        <v>119</v>
      </c>
      <c r="D99" s="5" t="s">
        <v>1</v>
      </c>
      <c r="E99">
        <v>25</v>
      </c>
      <c r="F99" s="5" t="s">
        <v>19</v>
      </c>
      <c r="G99">
        <v>1</v>
      </c>
      <c r="H99" s="11">
        <v>50</v>
      </c>
      <c r="I99" s="11">
        <v>50</v>
      </c>
      <c r="J99" t="s">
        <v>22</v>
      </c>
      <c r="K99" t="s">
        <v>1029</v>
      </c>
      <c r="L99" t="s">
        <v>1038</v>
      </c>
      <c r="M99" t="s">
        <v>1041</v>
      </c>
      <c r="N99">
        <v>6</v>
      </c>
      <c r="O99" t="s">
        <v>1050</v>
      </c>
    </row>
    <row r="100" spans="1:15" x14ac:dyDescent="0.25">
      <c r="A100">
        <v>226</v>
      </c>
      <c r="B100" s="6">
        <v>45228</v>
      </c>
      <c r="C100" s="5" t="s">
        <v>120</v>
      </c>
      <c r="D100" s="5" t="s">
        <v>1</v>
      </c>
      <c r="E100">
        <v>61</v>
      </c>
      <c r="F100" s="5" t="s">
        <v>19</v>
      </c>
      <c r="G100">
        <v>1</v>
      </c>
      <c r="H100" s="11">
        <v>50</v>
      </c>
      <c r="I100" s="11">
        <v>50</v>
      </c>
      <c r="J100" t="s">
        <v>24</v>
      </c>
      <c r="K100" t="s">
        <v>1030</v>
      </c>
      <c r="L100" t="s">
        <v>1038</v>
      </c>
      <c r="M100" t="s">
        <v>1047</v>
      </c>
      <c r="N100">
        <v>10</v>
      </c>
      <c r="O100" t="s">
        <v>1049</v>
      </c>
    </row>
    <row r="101" spans="1:15" x14ac:dyDescent="0.25">
      <c r="A101">
        <v>231</v>
      </c>
      <c r="B101" s="6">
        <v>44930</v>
      </c>
      <c r="C101" s="5" t="s">
        <v>121</v>
      </c>
      <c r="D101" s="5" t="s">
        <v>1</v>
      </c>
      <c r="E101">
        <v>23</v>
      </c>
      <c r="F101" s="5" t="s">
        <v>19</v>
      </c>
      <c r="G101">
        <v>3</v>
      </c>
      <c r="H101" s="11">
        <v>50</v>
      </c>
      <c r="I101" s="11">
        <v>150</v>
      </c>
      <c r="J101" t="s">
        <v>22</v>
      </c>
      <c r="K101" t="s">
        <v>1029</v>
      </c>
      <c r="L101" t="s">
        <v>1038</v>
      </c>
      <c r="M101" t="s">
        <v>1039</v>
      </c>
      <c r="N101">
        <v>1</v>
      </c>
      <c r="O101" t="s">
        <v>1045</v>
      </c>
    </row>
    <row r="102" spans="1:15" x14ac:dyDescent="0.25">
      <c r="A102">
        <v>249</v>
      </c>
      <c r="B102" s="6">
        <v>45219</v>
      </c>
      <c r="C102" s="5" t="s">
        <v>122</v>
      </c>
      <c r="D102" s="5" t="s">
        <v>2</v>
      </c>
      <c r="E102">
        <v>20</v>
      </c>
      <c r="F102" s="5" t="s">
        <v>19</v>
      </c>
      <c r="G102">
        <v>1</v>
      </c>
      <c r="H102" s="11">
        <v>50</v>
      </c>
      <c r="I102" s="11">
        <v>50</v>
      </c>
      <c r="J102" t="s">
        <v>22</v>
      </c>
      <c r="K102" t="s">
        <v>1029</v>
      </c>
      <c r="L102" t="s">
        <v>1038</v>
      </c>
      <c r="M102" t="s">
        <v>1047</v>
      </c>
      <c r="N102">
        <v>10</v>
      </c>
      <c r="O102" t="s">
        <v>1049</v>
      </c>
    </row>
    <row r="103" spans="1:15" x14ac:dyDescent="0.25">
      <c r="A103">
        <v>258</v>
      </c>
      <c r="B103" s="6">
        <v>45264</v>
      </c>
      <c r="C103" s="5" t="s">
        <v>123</v>
      </c>
      <c r="D103" s="5" t="s">
        <v>1</v>
      </c>
      <c r="E103">
        <v>37</v>
      </c>
      <c r="F103" s="5" t="s">
        <v>19</v>
      </c>
      <c r="G103">
        <v>1</v>
      </c>
      <c r="H103" s="11">
        <v>50</v>
      </c>
      <c r="I103" s="11">
        <v>50</v>
      </c>
      <c r="J103" t="s">
        <v>20</v>
      </c>
      <c r="K103" t="s">
        <v>1028</v>
      </c>
      <c r="L103" t="s">
        <v>1038</v>
      </c>
      <c r="M103" t="s">
        <v>1047</v>
      </c>
      <c r="N103">
        <v>12</v>
      </c>
      <c r="O103" t="s">
        <v>1052</v>
      </c>
    </row>
    <row r="104" spans="1:15" x14ac:dyDescent="0.25">
      <c r="A104">
        <v>259</v>
      </c>
      <c r="B104" s="6">
        <v>45147</v>
      </c>
      <c r="C104" s="5" t="s">
        <v>124</v>
      </c>
      <c r="D104" s="5" t="s">
        <v>1</v>
      </c>
      <c r="E104">
        <v>45</v>
      </c>
      <c r="F104" s="5" t="s">
        <v>19</v>
      </c>
      <c r="G104">
        <v>4</v>
      </c>
      <c r="H104" s="11">
        <v>50</v>
      </c>
      <c r="I104" s="11">
        <v>200</v>
      </c>
      <c r="J104" t="s">
        <v>20</v>
      </c>
      <c r="K104" t="s">
        <v>1028</v>
      </c>
      <c r="L104" t="s">
        <v>1038</v>
      </c>
      <c r="M104" t="s">
        <v>1033</v>
      </c>
      <c r="N104">
        <v>8</v>
      </c>
      <c r="O104" t="s">
        <v>1051</v>
      </c>
    </row>
    <row r="105" spans="1:15" x14ac:dyDescent="0.25">
      <c r="A105">
        <v>284</v>
      </c>
      <c r="B105" s="6">
        <v>44965</v>
      </c>
      <c r="C105" s="5" t="s">
        <v>125</v>
      </c>
      <c r="D105" s="5" t="s">
        <v>2</v>
      </c>
      <c r="E105">
        <v>43</v>
      </c>
      <c r="F105" s="5" t="s">
        <v>19</v>
      </c>
      <c r="G105">
        <v>4</v>
      </c>
      <c r="H105" s="11">
        <v>50</v>
      </c>
      <c r="I105" s="11">
        <v>200</v>
      </c>
      <c r="J105" t="s">
        <v>20</v>
      </c>
      <c r="K105" t="s">
        <v>1028</v>
      </c>
      <c r="L105" t="s">
        <v>1038</v>
      </c>
      <c r="M105" t="s">
        <v>1039</v>
      </c>
      <c r="N105">
        <v>2</v>
      </c>
      <c r="O105" t="s">
        <v>1044</v>
      </c>
    </row>
    <row r="106" spans="1:15" x14ac:dyDescent="0.25">
      <c r="A106">
        <v>341</v>
      </c>
      <c r="B106" s="6">
        <v>45053</v>
      </c>
      <c r="C106" s="5" t="s">
        <v>126</v>
      </c>
      <c r="D106" s="5" t="s">
        <v>2</v>
      </c>
      <c r="E106">
        <v>31</v>
      </c>
      <c r="F106" s="5" t="s">
        <v>19</v>
      </c>
      <c r="G106">
        <v>4</v>
      </c>
      <c r="H106" s="11">
        <v>50</v>
      </c>
      <c r="I106" s="11">
        <v>200</v>
      </c>
      <c r="J106" t="s">
        <v>20</v>
      </c>
      <c r="K106" t="s">
        <v>1028</v>
      </c>
      <c r="L106" t="s">
        <v>1038</v>
      </c>
      <c r="M106" t="s">
        <v>1041</v>
      </c>
      <c r="N106">
        <v>5</v>
      </c>
      <c r="O106" t="s">
        <v>1032</v>
      </c>
    </row>
    <row r="107" spans="1:15" x14ac:dyDescent="0.25">
      <c r="A107">
        <v>359</v>
      </c>
      <c r="B107" s="6">
        <v>45129</v>
      </c>
      <c r="C107" s="5" t="s">
        <v>127</v>
      </c>
      <c r="D107" s="5" t="s">
        <v>2</v>
      </c>
      <c r="E107">
        <v>50</v>
      </c>
      <c r="F107" s="5" t="s">
        <v>19</v>
      </c>
      <c r="G107">
        <v>1</v>
      </c>
      <c r="H107" s="11">
        <v>50</v>
      </c>
      <c r="I107" s="11">
        <v>50</v>
      </c>
      <c r="J107" t="s">
        <v>20</v>
      </c>
      <c r="K107" t="s">
        <v>1028</v>
      </c>
      <c r="L107" t="s">
        <v>1038</v>
      </c>
      <c r="M107" t="s">
        <v>1033</v>
      </c>
      <c r="N107">
        <v>7</v>
      </c>
      <c r="O107" t="s">
        <v>1046</v>
      </c>
    </row>
    <row r="108" spans="1:15" x14ac:dyDescent="0.25">
      <c r="A108">
        <v>366</v>
      </c>
      <c r="B108" s="6">
        <v>44964</v>
      </c>
      <c r="C108" s="5" t="s">
        <v>128</v>
      </c>
      <c r="D108" s="5" t="s">
        <v>2</v>
      </c>
      <c r="E108">
        <v>57</v>
      </c>
      <c r="F108" s="5" t="s">
        <v>19</v>
      </c>
      <c r="G108">
        <v>2</v>
      </c>
      <c r="H108" s="11">
        <v>50</v>
      </c>
      <c r="I108" s="11">
        <v>100</v>
      </c>
      <c r="J108" t="s">
        <v>24</v>
      </c>
      <c r="K108" t="s">
        <v>1030</v>
      </c>
      <c r="L108" t="s">
        <v>1038</v>
      </c>
      <c r="M108" t="s">
        <v>1039</v>
      </c>
      <c r="N108">
        <v>2</v>
      </c>
      <c r="O108" t="s">
        <v>1044</v>
      </c>
    </row>
    <row r="109" spans="1:15" x14ac:dyDescent="0.25">
      <c r="A109">
        <v>375</v>
      </c>
      <c r="B109" s="6">
        <v>45186</v>
      </c>
      <c r="C109" s="5" t="s">
        <v>129</v>
      </c>
      <c r="D109" s="5" t="s">
        <v>2</v>
      </c>
      <c r="E109">
        <v>32</v>
      </c>
      <c r="F109" s="5" t="s">
        <v>19</v>
      </c>
      <c r="G109">
        <v>1</v>
      </c>
      <c r="H109" s="11">
        <v>50</v>
      </c>
      <c r="I109" s="11">
        <v>50</v>
      </c>
      <c r="J109" t="s">
        <v>20</v>
      </c>
      <c r="K109" t="s">
        <v>1028</v>
      </c>
      <c r="L109" t="s">
        <v>1038</v>
      </c>
      <c r="M109" t="s">
        <v>1033</v>
      </c>
      <c r="N109">
        <v>9</v>
      </c>
      <c r="O109" t="s">
        <v>1043</v>
      </c>
    </row>
    <row r="110" spans="1:15" x14ac:dyDescent="0.25">
      <c r="A110">
        <v>377</v>
      </c>
      <c r="B110" s="6">
        <v>44994</v>
      </c>
      <c r="C110" s="5" t="s">
        <v>130</v>
      </c>
      <c r="D110" s="5" t="s">
        <v>1</v>
      </c>
      <c r="E110">
        <v>46</v>
      </c>
      <c r="F110" s="5" t="s">
        <v>19</v>
      </c>
      <c r="G110">
        <v>4</v>
      </c>
      <c r="H110" s="11">
        <v>50</v>
      </c>
      <c r="I110" s="11">
        <v>200</v>
      </c>
      <c r="J110" t="s">
        <v>20</v>
      </c>
      <c r="K110" t="s">
        <v>1028</v>
      </c>
      <c r="L110" t="s">
        <v>1038</v>
      </c>
      <c r="M110" t="s">
        <v>1039</v>
      </c>
      <c r="N110">
        <v>3</v>
      </c>
      <c r="O110" t="s">
        <v>1040</v>
      </c>
    </row>
    <row r="111" spans="1:15" x14ac:dyDescent="0.25">
      <c r="A111">
        <v>400</v>
      </c>
      <c r="B111" s="6">
        <v>44981</v>
      </c>
      <c r="C111" s="5" t="s">
        <v>131</v>
      </c>
      <c r="D111" s="5" t="s">
        <v>2</v>
      </c>
      <c r="E111">
        <v>53</v>
      </c>
      <c r="F111" s="5" t="s">
        <v>19</v>
      </c>
      <c r="G111">
        <v>4</v>
      </c>
      <c r="H111" s="11">
        <v>50</v>
      </c>
      <c r="I111" s="11">
        <v>200</v>
      </c>
      <c r="J111" t="s">
        <v>20</v>
      </c>
      <c r="K111" t="s">
        <v>1028</v>
      </c>
      <c r="L111" t="s">
        <v>1038</v>
      </c>
      <c r="M111" t="s">
        <v>1039</v>
      </c>
      <c r="N111">
        <v>2</v>
      </c>
      <c r="O111" t="s">
        <v>1044</v>
      </c>
    </row>
    <row r="112" spans="1:15" x14ac:dyDescent="0.25">
      <c r="A112">
        <v>410</v>
      </c>
      <c r="B112" s="6">
        <v>45251</v>
      </c>
      <c r="C112" s="5" t="s">
        <v>132</v>
      </c>
      <c r="D112" s="5" t="s">
        <v>1</v>
      </c>
      <c r="E112">
        <v>29</v>
      </c>
      <c r="F112" s="5" t="s">
        <v>19</v>
      </c>
      <c r="G112">
        <v>2</v>
      </c>
      <c r="H112" s="11">
        <v>50</v>
      </c>
      <c r="I112" s="11">
        <v>100</v>
      </c>
      <c r="J112" t="s">
        <v>22</v>
      </c>
      <c r="K112" t="s">
        <v>1029</v>
      </c>
      <c r="L112" t="s">
        <v>1038</v>
      </c>
      <c r="M112" t="s">
        <v>1047</v>
      </c>
      <c r="N112">
        <v>11</v>
      </c>
      <c r="O112" t="s">
        <v>1048</v>
      </c>
    </row>
    <row r="113" spans="1:15" x14ac:dyDescent="0.25">
      <c r="A113">
        <v>471</v>
      </c>
      <c r="B113" s="6">
        <v>45008</v>
      </c>
      <c r="C113" s="5" t="s">
        <v>133</v>
      </c>
      <c r="D113" s="5" t="s">
        <v>2</v>
      </c>
      <c r="E113">
        <v>32</v>
      </c>
      <c r="F113" s="5" t="s">
        <v>19</v>
      </c>
      <c r="G113">
        <v>3</v>
      </c>
      <c r="H113" s="11">
        <v>50</v>
      </c>
      <c r="I113" s="11">
        <v>150</v>
      </c>
      <c r="J113" t="s">
        <v>20</v>
      </c>
      <c r="K113" t="s">
        <v>1028</v>
      </c>
      <c r="L113" t="s">
        <v>1038</v>
      </c>
      <c r="M113" t="s">
        <v>1039</v>
      </c>
      <c r="N113">
        <v>3</v>
      </c>
      <c r="O113" t="s">
        <v>1040</v>
      </c>
    </row>
    <row r="114" spans="1:15" x14ac:dyDescent="0.25">
      <c r="A114">
        <v>490</v>
      </c>
      <c r="B114" s="6">
        <v>44962</v>
      </c>
      <c r="C114" s="5" t="s">
        <v>134</v>
      </c>
      <c r="D114" s="5" t="s">
        <v>2</v>
      </c>
      <c r="E114">
        <v>34</v>
      </c>
      <c r="F114" s="5" t="s">
        <v>19</v>
      </c>
      <c r="G114">
        <v>3</v>
      </c>
      <c r="H114" s="11">
        <v>50</v>
      </c>
      <c r="I114" s="11">
        <v>150</v>
      </c>
      <c r="J114" t="s">
        <v>20</v>
      </c>
      <c r="K114" t="s">
        <v>1028</v>
      </c>
      <c r="L114" t="s">
        <v>1038</v>
      </c>
      <c r="M114" t="s">
        <v>1039</v>
      </c>
      <c r="N114">
        <v>2</v>
      </c>
      <c r="O114" t="s">
        <v>1044</v>
      </c>
    </row>
    <row r="115" spans="1:15" x14ac:dyDescent="0.25">
      <c r="A115">
        <v>526</v>
      </c>
      <c r="B115" s="6">
        <v>45270</v>
      </c>
      <c r="C115" s="5" t="s">
        <v>135</v>
      </c>
      <c r="D115" s="5" t="s">
        <v>2</v>
      </c>
      <c r="E115">
        <v>33</v>
      </c>
      <c r="F115" s="5" t="s">
        <v>19</v>
      </c>
      <c r="G115">
        <v>2</v>
      </c>
      <c r="H115" s="11">
        <v>50</v>
      </c>
      <c r="I115" s="11">
        <v>100</v>
      </c>
      <c r="J115" t="s">
        <v>20</v>
      </c>
      <c r="K115" t="s">
        <v>1028</v>
      </c>
      <c r="L115" t="s">
        <v>1038</v>
      </c>
      <c r="M115" t="s">
        <v>1047</v>
      </c>
      <c r="N115">
        <v>12</v>
      </c>
      <c r="O115" t="s">
        <v>1052</v>
      </c>
    </row>
    <row r="116" spans="1:15" x14ac:dyDescent="0.25">
      <c r="A116">
        <v>529</v>
      </c>
      <c r="B116" s="6">
        <v>45147</v>
      </c>
      <c r="C116" s="5" t="s">
        <v>136</v>
      </c>
      <c r="D116" s="5" t="s">
        <v>1</v>
      </c>
      <c r="E116">
        <v>35</v>
      </c>
      <c r="F116" s="5" t="s">
        <v>19</v>
      </c>
      <c r="G116">
        <v>3</v>
      </c>
      <c r="H116" s="11">
        <v>50</v>
      </c>
      <c r="I116" s="11">
        <v>150</v>
      </c>
      <c r="J116" t="s">
        <v>20</v>
      </c>
      <c r="K116" t="s">
        <v>1028</v>
      </c>
      <c r="L116" t="s">
        <v>1038</v>
      </c>
      <c r="M116" t="s">
        <v>1033</v>
      </c>
      <c r="N116">
        <v>8</v>
      </c>
      <c r="O116" t="s">
        <v>1051</v>
      </c>
    </row>
    <row r="117" spans="1:15" x14ac:dyDescent="0.25">
      <c r="A117">
        <v>538</v>
      </c>
      <c r="B117" s="6">
        <v>45186</v>
      </c>
      <c r="C117" s="5" t="s">
        <v>137</v>
      </c>
      <c r="D117" s="5" t="s">
        <v>2</v>
      </c>
      <c r="E117">
        <v>18</v>
      </c>
      <c r="F117" s="5" t="s">
        <v>19</v>
      </c>
      <c r="G117">
        <v>3</v>
      </c>
      <c r="H117" s="11">
        <v>50</v>
      </c>
      <c r="I117" s="11">
        <v>150</v>
      </c>
      <c r="J117" t="s">
        <v>22</v>
      </c>
      <c r="K117" t="s">
        <v>1029</v>
      </c>
      <c r="L117" t="s">
        <v>1038</v>
      </c>
      <c r="M117" t="s">
        <v>1033</v>
      </c>
      <c r="N117">
        <v>9</v>
      </c>
      <c r="O117" t="s">
        <v>1043</v>
      </c>
    </row>
    <row r="118" spans="1:15" x14ac:dyDescent="0.25">
      <c r="A118">
        <v>575</v>
      </c>
      <c r="B118" s="6">
        <v>45013</v>
      </c>
      <c r="C118" s="5" t="s">
        <v>138</v>
      </c>
      <c r="D118" s="5" t="s">
        <v>2</v>
      </c>
      <c r="E118">
        <v>60</v>
      </c>
      <c r="F118" s="5" t="s">
        <v>19</v>
      </c>
      <c r="G118">
        <v>2</v>
      </c>
      <c r="H118" s="11">
        <v>50</v>
      </c>
      <c r="I118" s="11">
        <v>100</v>
      </c>
      <c r="J118" t="s">
        <v>24</v>
      </c>
      <c r="K118" t="s">
        <v>1030</v>
      </c>
      <c r="L118" t="s">
        <v>1038</v>
      </c>
      <c r="M118" t="s">
        <v>1039</v>
      </c>
      <c r="N118">
        <v>3</v>
      </c>
      <c r="O118" t="s">
        <v>1040</v>
      </c>
    </row>
    <row r="119" spans="1:15" x14ac:dyDescent="0.25">
      <c r="A119">
        <v>609</v>
      </c>
      <c r="B119" s="6">
        <v>45279</v>
      </c>
      <c r="C119" s="5" t="s">
        <v>139</v>
      </c>
      <c r="D119" s="5" t="s">
        <v>1</v>
      </c>
      <c r="E119">
        <v>47</v>
      </c>
      <c r="F119" s="5" t="s">
        <v>19</v>
      </c>
      <c r="G119">
        <v>2</v>
      </c>
      <c r="H119" s="11">
        <v>50</v>
      </c>
      <c r="I119" s="11">
        <v>100</v>
      </c>
      <c r="J119" t="s">
        <v>20</v>
      </c>
      <c r="K119" t="s">
        <v>1028</v>
      </c>
      <c r="L119" t="s">
        <v>1038</v>
      </c>
      <c r="M119" t="s">
        <v>1047</v>
      </c>
      <c r="N119">
        <v>12</v>
      </c>
      <c r="O119" t="s">
        <v>1052</v>
      </c>
    </row>
    <row r="120" spans="1:15" x14ac:dyDescent="0.25">
      <c r="A120">
        <v>616</v>
      </c>
      <c r="B120" s="6">
        <v>45192</v>
      </c>
      <c r="C120" s="5" t="s">
        <v>140</v>
      </c>
      <c r="D120" s="5" t="s">
        <v>2</v>
      </c>
      <c r="E120">
        <v>41</v>
      </c>
      <c r="F120" s="5" t="s">
        <v>19</v>
      </c>
      <c r="G120">
        <v>2</v>
      </c>
      <c r="H120" s="11">
        <v>50</v>
      </c>
      <c r="I120" s="11">
        <v>100</v>
      </c>
      <c r="J120" t="s">
        <v>20</v>
      </c>
      <c r="K120" t="s">
        <v>1028</v>
      </c>
      <c r="L120" t="s">
        <v>1038</v>
      </c>
      <c r="M120" t="s">
        <v>1033</v>
      </c>
      <c r="N120">
        <v>9</v>
      </c>
      <c r="O120" t="s">
        <v>1043</v>
      </c>
    </row>
    <row r="121" spans="1:15" x14ac:dyDescent="0.25">
      <c r="A121">
        <v>623</v>
      </c>
      <c r="B121" s="6">
        <v>44995</v>
      </c>
      <c r="C121" s="5" t="s">
        <v>141</v>
      </c>
      <c r="D121" s="5" t="s">
        <v>2</v>
      </c>
      <c r="E121">
        <v>34</v>
      </c>
      <c r="F121" s="5" t="s">
        <v>19</v>
      </c>
      <c r="G121">
        <v>3</v>
      </c>
      <c r="H121" s="11">
        <v>50</v>
      </c>
      <c r="I121" s="11">
        <v>150</v>
      </c>
      <c r="J121" t="s">
        <v>20</v>
      </c>
      <c r="K121" t="s">
        <v>1028</v>
      </c>
      <c r="L121" t="s">
        <v>1038</v>
      </c>
      <c r="M121" t="s">
        <v>1039</v>
      </c>
      <c r="N121">
        <v>3</v>
      </c>
      <c r="O121" t="s">
        <v>1040</v>
      </c>
    </row>
    <row r="122" spans="1:15" x14ac:dyDescent="0.25">
      <c r="A122">
        <v>627</v>
      </c>
      <c r="B122" s="6">
        <v>45213</v>
      </c>
      <c r="C122" s="5" t="s">
        <v>142</v>
      </c>
      <c r="D122" s="5" t="s">
        <v>2</v>
      </c>
      <c r="E122">
        <v>57</v>
      </c>
      <c r="F122" s="5" t="s">
        <v>19</v>
      </c>
      <c r="G122">
        <v>1</v>
      </c>
      <c r="H122" s="11">
        <v>50</v>
      </c>
      <c r="I122" s="11">
        <v>50</v>
      </c>
      <c r="J122" t="s">
        <v>24</v>
      </c>
      <c r="K122" t="s">
        <v>1030</v>
      </c>
      <c r="L122" t="s">
        <v>1038</v>
      </c>
      <c r="M122" t="s">
        <v>1047</v>
      </c>
      <c r="N122">
        <v>10</v>
      </c>
      <c r="O122" t="s">
        <v>1049</v>
      </c>
    </row>
    <row r="123" spans="1:15" x14ac:dyDescent="0.25">
      <c r="A123">
        <v>630</v>
      </c>
      <c r="B123" s="6">
        <v>45153</v>
      </c>
      <c r="C123" s="5" t="s">
        <v>143</v>
      </c>
      <c r="D123" s="5" t="s">
        <v>2</v>
      </c>
      <c r="E123">
        <v>42</v>
      </c>
      <c r="F123" s="5" t="s">
        <v>19</v>
      </c>
      <c r="G123">
        <v>2</v>
      </c>
      <c r="H123" s="11">
        <v>50</v>
      </c>
      <c r="I123" s="11">
        <v>100</v>
      </c>
      <c r="J123" t="s">
        <v>20</v>
      </c>
      <c r="K123" t="s">
        <v>1028</v>
      </c>
      <c r="L123" t="s">
        <v>1038</v>
      </c>
      <c r="M123" t="s">
        <v>1033</v>
      </c>
      <c r="N123">
        <v>8</v>
      </c>
      <c r="O123" t="s">
        <v>1051</v>
      </c>
    </row>
    <row r="124" spans="1:15" x14ac:dyDescent="0.25">
      <c r="A124">
        <v>651</v>
      </c>
      <c r="B124" s="6">
        <v>45073</v>
      </c>
      <c r="C124" s="5" t="s">
        <v>144</v>
      </c>
      <c r="D124" s="5" t="s">
        <v>2</v>
      </c>
      <c r="E124">
        <v>51</v>
      </c>
      <c r="F124" s="5" t="s">
        <v>19</v>
      </c>
      <c r="G124">
        <v>3</v>
      </c>
      <c r="H124" s="11">
        <v>50</v>
      </c>
      <c r="I124" s="11">
        <v>150</v>
      </c>
      <c r="J124" t="s">
        <v>20</v>
      </c>
      <c r="K124" t="s">
        <v>1028</v>
      </c>
      <c r="L124" t="s">
        <v>1038</v>
      </c>
      <c r="M124" t="s">
        <v>1041</v>
      </c>
      <c r="N124">
        <v>5</v>
      </c>
      <c r="O124" t="s">
        <v>1032</v>
      </c>
    </row>
    <row r="125" spans="1:15" x14ac:dyDescent="0.25">
      <c r="A125">
        <v>665</v>
      </c>
      <c r="B125" s="6">
        <v>45036</v>
      </c>
      <c r="C125" s="5" t="s">
        <v>145</v>
      </c>
      <c r="D125" s="5" t="s">
        <v>2</v>
      </c>
      <c r="E125">
        <v>57</v>
      </c>
      <c r="F125" s="5" t="s">
        <v>19</v>
      </c>
      <c r="G125">
        <v>1</v>
      </c>
      <c r="H125" s="11">
        <v>50</v>
      </c>
      <c r="I125" s="11">
        <v>50</v>
      </c>
      <c r="J125" t="s">
        <v>24</v>
      </c>
      <c r="K125" t="s">
        <v>1030</v>
      </c>
      <c r="L125" t="s">
        <v>1038</v>
      </c>
      <c r="M125" t="s">
        <v>1041</v>
      </c>
      <c r="N125">
        <v>4</v>
      </c>
      <c r="O125" t="s">
        <v>1042</v>
      </c>
    </row>
    <row r="126" spans="1:15" x14ac:dyDescent="0.25">
      <c r="A126">
        <v>692</v>
      </c>
      <c r="B126" s="6">
        <v>45176</v>
      </c>
      <c r="C126" s="5" t="s">
        <v>146</v>
      </c>
      <c r="D126" s="5" t="s">
        <v>1</v>
      </c>
      <c r="E126">
        <v>64</v>
      </c>
      <c r="F126" s="5" t="s">
        <v>19</v>
      </c>
      <c r="G126">
        <v>2</v>
      </c>
      <c r="H126" s="11">
        <v>50</v>
      </c>
      <c r="I126" s="11">
        <v>100</v>
      </c>
      <c r="J126" t="s">
        <v>24</v>
      </c>
      <c r="K126" t="s">
        <v>1030</v>
      </c>
      <c r="L126" t="s">
        <v>1038</v>
      </c>
      <c r="M126" t="s">
        <v>1033</v>
      </c>
      <c r="N126">
        <v>9</v>
      </c>
      <c r="O126" t="s">
        <v>1043</v>
      </c>
    </row>
    <row r="127" spans="1:15" x14ac:dyDescent="0.25">
      <c r="A127">
        <v>696</v>
      </c>
      <c r="B127" s="6">
        <v>45175</v>
      </c>
      <c r="C127" s="5" t="s">
        <v>147</v>
      </c>
      <c r="D127" s="5" t="s">
        <v>1</v>
      </c>
      <c r="E127">
        <v>50</v>
      </c>
      <c r="F127" s="5" t="s">
        <v>19</v>
      </c>
      <c r="G127">
        <v>4</v>
      </c>
      <c r="H127" s="11">
        <v>50</v>
      </c>
      <c r="I127" s="11">
        <v>200</v>
      </c>
      <c r="J127" t="s">
        <v>20</v>
      </c>
      <c r="K127" t="s">
        <v>1028</v>
      </c>
      <c r="L127" t="s">
        <v>1038</v>
      </c>
      <c r="M127" t="s">
        <v>1033</v>
      </c>
      <c r="N127">
        <v>9</v>
      </c>
      <c r="O127" t="s">
        <v>1043</v>
      </c>
    </row>
    <row r="128" spans="1:15" x14ac:dyDescent="0.25">
      <c r="A128">
        <v>724</v>
      </c>
      <c r="B128" s="6">
        <v>45035</v>
      </c>
      <c r="C128" s="5" t="s">
        <v>148</v>
      </c>
      <c r="D128" s="5" t="s">
        <v>2</v>
      </c>
      <c r="E128">
        <v>61</v>
      </c>
      <c r="F128" s="5" t="s">
        <v>19</v>
      </c>
      <c r="G128">
        <v>3</v>
      </c>
      <c r="H128" s="11">
        <v>50</v>
      </c>
      <c r="I128" s="11">
        <v>150</v>
      </c>
      <c r="J128" t="s">
        <v>24</v>
      </c>
      <c r="K128" t="s">
        <v>1030</v>
      </c>
      <c r="L128" t="s">
        <v>1038</v>
      </c>
      <c r="M128" t="s">
        <v>1041</v>
      </c>
      <c r="N128">
        <v>4</v>
      </c>
      <c r="O128" t="s">
        <v>1042</v>
      </c>
    </row>
    <row r="129" spans="1:15" x14ac:dyDescent="0.25">
      <c r="A129">
        <v>737</v>
      </c>
      <c r="B129" s="6">
        <v>45106</v>
      </c>
      <c r="C129" s="5" t="s">
        <v>149</v>
      </c>
      <c r="D129" s="5" t="s">
        <v>1</v>
      </c>
      <c r="E129">
        <v>33</v>
      </c>
      <c r="F129" s="5" t="s">
        <v>19</v>
      </c>
      <c r="G129">
        <v>1</v>
      </c>
      <c r="H129" s="11">
        <v>50</v>
      </c>
      <c r="I129" s="11">
        <v>50</v>
      </c>
      <c r="J129" t="s">
        <v>20</v>
      </c>
      <c r="K129" t="s">
        <v>1028</v>
      </c>
      <c r="L129" t="s">
        <v>1038</v>
      </c>
      <c r="M129" t="s">
        <v>1041</v>
      </c>
      <c r="N129">
        <v>6</v>
      </c>
      <c r="O129" t="s">
        <v>1050</v>
      </c>
    </row>
    <row r="130" spans="1:15" x14ac:dyDescent="0.25">
      <c r="A130">
        <v>738</v>
      </c>
      <c r="B130" s="6">
        <v>45041</v>
      </c>
      <c r="C130" s="5" t="s">
        <v>150</v>
      </c>
      <c r="D130" s="5" t="s">
        <v>2</v>
      </c>
      <c r="E130">
        <v>41</v>
      </c>
      <c r="F130" s="5" t="s">
        <v>19</v>
      </c>
      <c r="G130">
        <v>2</v>
      </c>
      <c r="H130" s="11">
        <v>50</v>
      </c>
      <c r="I130" s="11">
        <v>100</v>
      </c>
      <c r="J130" t="s">
        <v>20</v>
      </c>
      <c r="K130" t="s">
        <v>1028</v>
      </c>
      <c r="L130" t="s">
        <v>1038</v>
      </c>
      <c r="M130" t="s">
        <v>1041</v>
      </c>
      <c r="N130">
        <v>4</v>
      </c>
      <c r="O130" t="s">
        <v>1042</v>
      </c>
    </row>
    <row r="131" spans="1:15" x14ac:dyDescent="0.25">
      <c r="A131">
        <v>748</v>
      </c>
      <c r="B131" s="6">
        <v>45005</v>
      </c>
      <c r="C131" s="5" t="s">
        <v>151</v>
      </c>
      <c r="D131" s="5" t="s">
        <v>2</v>
      </c>
      <c r="E131">
        <v>25</v>
      </c>
      <c r="F131" s="5" t="s">
        <v>19</v>
      </c>
      <c r="G131">
        <v>3</v>
      </c>
      <c r="H131" s="11">
        <v>50</v>
      </c>
      <c r="I131" s="11">
        <v>150</v>
      </c>
      <c r="J131" t="s">
        <v>22</v>
      </c>
      <c r="K131" t="s">
        <v>1029</v>
      </c>
      <c r="L131" t="s">
        <v>1038</v>
      </c>
      <c r="M131" t="s">
        <v>1039</v>
      </c>
      <c r="N131">
        <v>3</v>
      </c>
      <c r="O131" t="s">
        <v>1040</v>
      </c>
    </row>
    <row r="132" spans="1:15" x14ac:dyDescent="0.25">
      <c r="A132">
        <v>752</v>
      </c>
      <c r="B132" s="6">
        <v>45269</v>
      </c>
      <c r="C132" s="5" t="s">
        <v>152</v>
      </c>
      <c r="D132" s="5" t="s">
        <v>2</v>
      </c>
      <c r="E132">
        <v>29</v>
      </c>
      <c r="F132" s="5" t="s">
        <v>19</v>
      </c>
      <c r="G132">
        <v>2</v>
      </c>
      <c r="H132" s="11">
        <v>50</v>
      </c>
      <c r="I132" s="11">
        <v>100</v>
      </c>
      <c r="J132" t="s">
        <v>22</v>
      </c>
      <c r="K132" t="s">
        <v>1029</v>
      </c>
      <c r="L132" t="s">
        <v>1038</v>
      </c>
      <c r="M132" t="s">
        <v>1047</v>
      </c>
      <c r="N132">
        <v>12</v>
      </c>
      <c r="O132" t="s">
        <v>1052</v>
      </c>
    </row>
    <row r="133" spans="1:15" x14ac:dyDescent="0.25">
      <c r="A133">
        <v>765</v>
      </c>
      <c r="B133" s="6">
        <v>45086</v>
      </c>
      <c r="C133" s="5" t="s">
        <v>153</v>
      </c>
      <c r="D133" s="5" t="s">
        <v>2</v>
      </c>
      <c r="E133">
        <v>43</v>
      </c>
      <c r="F133" s="5" t="s">
        <v>19</v>
      </c>
      <c r="G133">
        <v>4</v>
      </c>
      <c r="H133" s="11">
        <v>50</v>
      </c>
      <c r="I133" s="11">
        <v>200</v>
      </c>
      <c r="J133" t="s">
        <v>20</v>
      </c>
      <c r="K133" t="s">
        <v>1028</v>
      </c>
      <c r="L133" t="s">
        <v>1038</v>
      </c>
      <c r="M133" t="s">
        <v>1041</v>
      </c>
      <c r="N133">
        <v>6</v>
      </c>
      <c r="O133" t="s">
        <v>1050</v>
      </c>
    </row>
    <row r="134" spans="1:15" x14ac:dyDescent="0.25">
      <c r="A134">
        <v>770</v>
      </c>
      <c r="B134" s="6">
        <v>45221</v>
      </c>
      <c r="C134" s="5" t="s">
        <v>154</v>
      </c>
      <c r="D134" s="5" t="s">
        <v>2</v>
      </c>
      <c r="E134">
        <v>32</v>
      </c>
      <c r="F134" s="5" t="s">
        <v>19</v>
      </c>
      <c r="G134">
        <v>1</v>
      </c>
      <c r="H134" s="11">
        <v>50</v>
      </c>
      <c r="I134" s="11">
        <v>50</v>
      </c>
      <c r="J134" t="s">
        <v>20</v>
      </c>
      <c r="K134" t="s">
        <v>1028</v>
      </c>
      <c r="L134" t="s">
        <v>1038</v>
      </c>
      <c r="M134" t="s">
        <v>1047</v>
      </c>
      <c r="N134">
        <v>10</v>
      </c>
      <c r="O134" t="s">
        <v>1049</v>
      </c>
    </row>
    <row r="135" spans="1:15" x14ac:dyDescent="0.25">
      <c r="A135">
        <v>798</v>
      </c>
      <c r="B135" s="6">
        <v>45142</v>
      </c>
      <c r="C135" s="5" t="s">
        <v>155</v>
      </c>
      <c r="D135" s="5" t="s">
        <v>2</v>
      </c>
      <c r="E135">
        <v>61</v>
      </c>
      <c r="F135" s="5" t="s">
        <v>19</v>
      </c>
      <c r="G135">
        <v>1</v>
      </c>
      <c r="H135" s="11">
        <v>50</v>
      </c>
      <c r="I135" s="11">
        <v>50</v>
      </c>
      <c r="J135" t="s">
        <v>24</v>
      </c>
      <c r="K135" t="s">
        <v>1030</v>
      </c>
      <c r="L135" t="s">
        <v>1038</v>
      </c>
      <c r="M135" t="s">
        <v>1033</v>
      </c>
      <c r="N135">
        <v>8</v>
      </c>
      <c r="O135" t="s">
        <v>1051</v>
      </c>
    </row>
    <row r="136" spans="1:15" x14ac:dyDescent="0.25">
      <c r="A136">
        <v>801</v>
      </c>
      <c r="B136" s="6">
        <v>45148</v>
      </c>
      <c r="C136" s="5" t="s">
        <v>156</v>
      </c>
      <c r="D136" s="5" t="s">
        <v>2</v>
      </c>
      <c r="E136">
        <v>21</v>
      </c>
      <c r="F136" s="5" t="s">
        <v>19</v>
      </c>
      <c r="G136">
        <v>4</v>
      </c>
      <c r="H136" s="11">
        <v>50</v>
      </c>
      <c r="I136" s="11">
        <v>200</v>
      </c>
      <c r="J136" t="s">
        <v>22</v>
      </c>
      <c r="K136" t="s">
        <v>1029</v>
      </c>
      <c r="L136" t="s">
        <v>1038</v>
      </c>
      <c r="M136" t="s">
        <v>1033</v>
      </c>
      <c r="N136">
        <v>8</v>
      </c>
      <c r="O136" t="s">
        <v>1051</v>
      </c>
    </row>
    <row r="137" spans="1:15" x14ac:dyDescent="0.25">
      <c r="A137">
        <v>830</v>
      </c>
      <c r="B137" s="6">
        <v>45099</v>
      </c>
      <c r="C137" s="5" t="s">
        <v>157</v>
      </c>
      <c r="D137" s="5" t="s">
        <v>1</v>
      </c>
      <c r="E137">
        <v>64</v>
      </c>
      <c r="F137" s="5" t="s">
        <v>19</v>
      </c>
      <c r="G137">
        <v>3</v>
      </c>
      <c r="H137" s="11">
        <v>50</v>
      </c>
      <c r="I137" s="11">
        <v>150</v>
      </c>
      <c r="J137" t="s">
        <v>24</v>
      </c>
      <c r="K137" t="s">
        <v>1030</v>
      </c>
      <c r="L137" t="s">
        <v>1038</v>
      </c>
      <c r="M137" t="s">
        <v>1041</v>
      </c>
      <c r="N137">
        <v>6</v>
      </c>
      <c r="O137" t="s">
        <v>1050</v>
      </c>
    </row>
    <row r="138" spans="1:15" x14ac:dyDescent="0.25">
      <c r="A138">
        <v>835</v>
      </c>
      <c r="B138" s="6">
        <v>45176</v>
      </c>
      <c r="C138" s="5" t="s">
        <v>158</v>
      </c>
      <c r="D138" s="5" t="s">
        <v>2</v>
      </c>
      <c r="E138">
        <v>37</v>
      </c>
      <c r="F138" s="5" t="s">
        <v>19</v>
      </c>
      <c r="G138">
        <v>4</v>
      </c>
      <c r="H138" s="11">
        <v>50</v>
      </c>
      <c r="I138" s="11">
        <v>200</v>
      </c>
      <c r="J138" t="s">
        <v>20</v>
      </c>
      <c r="K138" t="s">
        <v>1028</v>
      </c>
      <c r="L138" t="s">
        <v>1038</v>
      </c>
      <c r="M138" t="s">
        <v>1033</v>
      </c>
      <c r="N138">
        <v>9</v>
      </c>
      <c r="O138" t="s">
        <v>1043</v>
      </c>
    </row>
    <row r="139" spans="1:15" x14ac:dyDescent="0.25">
      <c r="A139">
        <v>836</v>
      </c>
      <c r="B139" s="6">
        <v>45035</v>
      </c>
      <c r="C139" s="5" t="s">
        <v>159</v>
      </c>
      <c r="D139" s="5" t="s">
        <v>1</v>
      </c>
      <c r="E139">
        <v>22</v>
      </c>
      <c r="F139" s="5" t="s">
        <v>19</v>
      </c>
      <c r="G139">
        <v>1</v>
      </c>
      <c r="H139" s="11">
        <v>50</v>
      </c>
      <c r="I139" s="11">
        <v>50</v>
      </c>
      <c r="J139" t="s">
        <v>22</v>
      </c>
      <c r="K139" t="s">
        <v>1029</v>
      </c>
      <c r="L139" t="s">
        <v>1038</v>
      </c>
      <c r="M139" t="s">
        <v>1041</v>
      </c>
      <c r="N139">
        <v>4</v>
      </c>
      <c r="O139" t="s">
        <v>1042</v>
      </c>
    </row>
    <row r="140" spans="1:15" x14ac:dyDescent="0.25">
      <c r="A140">
        <v>844</v>
      </c>
      <c r="B140" s="6">
        <v>45211</v>
      </c>
      <c r="C140" s="5" t="s">
        <v>160</v>
      </c>
      <c r="D140" s="5" t="s">
        <v>2</v>
      </c>
      <c r="E140">
        <v>35</v>
      </c>
      <c r="F140" s="5" t="s">
        <v>19</v>
      </c>
      <c r="G140">
        <v>3</v>
      </c>
      <c r="H140" s="11">
        <v>50</v>
      </c>
      <c r="I140" s="11">
        <v>150</v>
      </c>
      <c r="J140" t="s">
        <v>20</v>
      </c>
      <c r="K140" t="s">
        <v>1028</v>
      </c>
      <c r="L140" t="s">
        <v>1038</v>
      </c>
      <c r="M140" t="s">
        <v>1047</v>
      </c>
      <c r="N140">
        <v>10</v>
      </c>
      <c r="O140" t="s">
        <v>1049</v>
      </c>
    </row>
    <row r="141" spans="1:15" x14ac:dyDescent="0.25">
      <c r="A141">
        <v>854</v>
      </c>
      <c r="B141" s="6">
        <v>45280</v>
      </c>
      <c r="C141" s="5" t="s">
        <v>161</v>
      </c>
      <c r="D141" s="5" t="s">
        <v>2</v>
      </c>
      <c r="E141">
        <v>29</v>
      </c>
      <c r="F141" s="5" t="s">
        <v>19</v>
      </c>
      <c r="G141">
        <v>1</v>
      </c>
      <c r="H141" s="11">
        <v>50</v>
      </c>
      <c r="I141" s="11">
        <v>50</v>
      </c>
      <c r="J141" t="s">
        <v>22</v>
      </c>
      <c r="K141" t="s">
        <v>1029</v>
      </c>
      <c r="L141" t="s">
        <v>1038</v>
      </c>
      <c r="M141" t="s">
        <v>1047</v>
      </c>
      <c r="N141">
        <v>12</v>
      </c>
      <c r="O141" t="s">
        <v>1052</v>
      </c>
    </row>
    <row r="142" spans="1:15" x14ac:dyDescent="0.25">
      <c r="A142">
        <v>860</v>
      </c>
      <c r="B142" s="6">
        <v>44935</v>
      </c>
      <c r="C142" s="5" t="s">
        <v>162</v>
      </c>
      <c r="D142" s="5" t="s">
        <v>2</v>
      </c>
      <c r="E142">
        <v>63</v>
      </c>
      <c r="F142" s="5" t="s">
        <v>19</v>
      </c>
      <c r="G142">
        <v>4</v>
      </c>
      <c r="H142" s="11">
        <v>50</v>
      </c>
      <c r="I142" s="11">
        <v>200</v>
      </c>
      <c r="J142" t="s">
        <v>24</v>
      </c>
      <c r="K142" t="s">
        <v>1030</v>
      </c>
      <c r="L142" t="s">
        <v>1038</v>
      </c>
      <c r="M142" t="s">
        <v>1039</v>
      </c>
      <c r="N142">
        <v>1</v>
      </c>
      <c r="O142" t="s">
        <v>1045</v>
      </c>
    </row>
    <row r="143" spans="1:15" x14ac:dyDescent="0.25">
      <c r="A143">
        <v>906</v>
      </c>
      <c r="B143" s="6">
        <v>45081</v>
      </c>
      <c r="C143" s="5" t="s">
        <v>163</v>
      </c>
      <c r="D143" s="5" t="s">
        <v>1</v>
      </c>
      <c r="E143">
        <v>20</v>
      </c>
      <c r="F143" s="5" t="s">
        <v>19</v>
      </c>
      <c r="G143">
        <v>1</v>
      </c>
      <c r="H143" s="11">
        <v>50</v>
      </c>
      <c r="I143" s="11">
        <v>50</v>
      </c>
      <c r="J143" t="s">
        <v>22</v>
      </c>
      <c r="K143" t="s">
        <v>1029</v>
      </c>
      <c r="L143" t="s">
        <v>1038</v>
      </c>
      <c r="M143" t="s">
        <v>1041</v>
      </c>
      <c r="N143">
        <v>6</v>
      </c>
      <c r="O143" t="s">
        <v>1050</v>
      </c>
    </row>
    <row r="144" spans="1:15" x14ac:dyDescent="0.25">
      <c r="A144">
        <v>930</v>
      </c>
      <c r="B144" s="6">
        <v>45056</v>
      </c>
      <c r="C144" s="5" t="s">
        <v>164</v>
      </c>
      <c r="D144" s="5" t="s">
        <v>2</v>
      </c>
      <c r="E144">
        <v>54</v>
      </c>
      <c r="F144" s="5" t="s">
        <v>19</v>
      </c>
      <c r="G144">
        <v>4</v>
      </c>
      <c r="H144" s="11">
        <v>50</v>
      </c>
      <c r="I144" s="11">
        <v>200</v>
      </c>
      <c r="J144" t="s">
        <v>20</v>
      </c>
      <c r="K144" t="s">
        <v>1028</v>
      </c>
      <c r="L144" t="s">
        <v>1038</v>
      </c>
      <c r="M144" t="s">
        <v>1041</v>
      </c>
      <c r="N144">
        <v>5</v>
      </c>
      <c r="O144" t="s">
        <v>1032</v>
      </c>
    </row>
    <row r="145" spans="1:15" x14ac:dyDescent="0.25">
      <c r="A145">
        <v>938</v>
      </c>
      <c r="B145" s="6">
        <v>45249</v>
      </c>
      <c r="C145" s="5" t="s">
        <v>165</v>
      </c>
      <c r="D145" s="5" t="s">
        <v>2</v>
      </c>
      <c r="E145">
        <v>49</v>
      </c>
      <c r="F145" s="5" t="s">
        <v>19</v>
      </c>
      <c r="G145">
        <v>4</v>
      </c>
      <c r="H145" s="11">
        <v>50</v>
      </c>
      <c r="I145" s="11">
        <v>200</v>
      </c>
      <c r="J145" t="s">
        <v>20</v>
      </c>
      <c r="K145" t="s">
        <v>1028</v>
      </c>
      <c r="L145" t="s">
        <v>1038</v>
      </c>
      <c r="M145" t="s">
        <v>1047</v>
      </c>
      <c r="N145">
        <v>11</v>
      </c>
      <c r="O145" t="s">
        <v>1048</v>
      </c>
    </row>
    <row r="146" spans="1:15" x14ac:dyDescent="0.25">
      <c r="A146">
        <v>965</v>
      </c>
      <c r="B146" s="6">
        <v>45239</v>
      </c>
      <c r="C146" s="5" t="s">
        <v>166</v>
      </c>
      <c r="D146" s="5" t="s">
        <v>2</v>
      </c>
      <c r="E146">
        <v>22</v>
      </c>
      <c r="F146" s="5" t="s">
        <v>19</v>
      </c>
      <c r="G146">
        <v>4</v>
      </c>
      <c r="H146" s="11">
        <v>50</v>
      </c>
      <c r="I146" s="11">
        <v>200</v>
      </c>
      <c r="J146" t="s">
        <v>22</v>
      </c>
      <c r="K146" t="s">
        <v>1029</v>
      </c>
      <c r="L146" t="s">
        <v>1038</v>
      </c>
      <c r="M146" t="s">
        <v>1047</v>
      </c>
      <c r="N146">
        <v>11</v>
      </c>
      <c r="O146" t="s">
        <v>1048</v>
      </c>
    </row>
    <row r="147" spans="1:15" x14ac:dyDescent="0.25">
      <c r="A147">
        <v>973</v>
      </c>
      <c r="B147" s="6">
        <v>45007</v>
      </c>
      <c r="C147" s="5" t="s">
        <v>167</v>
      </c>
      <c r="D147" s="5" t="s">
        <v>2</v>
      </c>
      <c r="E147">
        <v>60</v>
      </c>
      <c r="F147" s="5" t="s">
        <v>19</v>
      </c>
      <c r="G147">
        <v>1</v>
      </c>
      <c r="H147" s="11">
        <v>50</v>
      </c>
      <c r="I147" s="11">
        <v>50</v>
      </c>
      <c r="J147" t="s">
        <v>24</v>
      </c>
      <c r="K147" t="s">
        <v>1030</v>
      </c>
      <c r="L147" t="s">
        <v>1038</v>
      </c>
      <c r="M147" t="s">
        <v>1039</v>
      </c>
      <c r="N147">
        <v>3</v>
      </c>
      <c r="O147" t="s">
        <v>1040</v>
      </c>
    </row>
    <row r="148" spans="1:15" x14ac:dyDescent="0.25">
      <c r="A148">
        <v>975</v>
      </c>
      <c r="B148" s="6">
        <v>45015</v>
      </c>
      <c r="C148" s="5" t="s">
        <v>168</v>
      </c>
      <c r="D148" s="5" t="s">
        <v>1</v>
      </c>
      <c r="E148">
        <v>56</v>
      </c>
      <c r="F148" s="5" t="s">
        <v>19</v>
      </c>
      <c r="G148">
        <v>4</v>
      </c>
      <c r="H148" s="11">
        <v>50</v>
      </c>
      <c r="I148" s="11">
        <v>200</v>
      </c>
      <c r="J148" t="s">
        <v>24</v>
      </c>
      <c r="K148" t="s">
        <v>1030</v>
      </c>
      <c r="L148" t="s">
        <v>1038</v>
      </c>
      <c r="M148" t="s">
        <v>1039</v>
      </c>
      <c r="N148">
        <v>3</v>
      </c>
      <c r="O148" t="s">
        <v>1040</v>
      </c>
    </row>
    <row r="149" spans="1:15" x14ac:dyDescent="0.25">
      <c r="A149">
        <v>978</v>
      </c>
      <c r="B149" s="6">
        <v>45007</v>
      </c>
      <c r="C149" s="5" t="s">
        <v>169</v>
      </c>
      <c r="D149" s="5" t="s">
        <v>1</v>
      </c>
      <c r="E149">
        <v>53</v>
      </c>
      <c r="F149" s="5" t="s">
        <v>19</v>
      </c>
      <c r="G149">
        <v>3</v>
      </c>
      <c r="H149" s="11">
        <v>50</v>
      </c>
      <c r="I149" s="11">
        <v>150</v>
      </c>
      <c r="J149" t="s">
        <v>20</v>
      </c>
      <c r="K149" t="s">
        <v>1028</v>
      </c>
      <c r="L149" t="s">
        <v>1038</v>
      </c>
      <c r="M149" t="s">
        <v>1039</v>
      </c>
      <c r="N149">
        <v>3</v>
      </c>
      <c r="O149" t="s">
        <v>1040</v>
      </c>
    </row>
    <row r="150" spans="1:15" x14ac:dyDescent="0.25">
      <c r="A150">
        <v>991</v>
      </c>
      <c r="B150" s="6">
        <v>45286</v>
      </c>
      <c r="C150" s="5" t="s">
        <v>170</v>
      </c>
      <c r="D150" s="5" t="s">
        <v>1</v>
      </c>
      <c r="E150">
        <v>34</v>
      </c>
      <c r="F150" s="5" t="s">
        <v>19</v>
      </c>
      <c r="G150">
        <v>2</v>
      </c>
      <c r="H150" s="11">
        <v>50</v>
      </c>
      <c r="I150" s="11">
        <v>100</v>
      </c>
      <c r="J150" t="s">
        <v>20</v>
      </c>
      <c r="K150" t="s">
        <v>1028</v>
      </c>
      <c r="L150" t="s">
        <v>1038</v>
      </c>
      <c r="M150" t="s">
        <v>1047</v>
      </c>
      <c r="N150">
        <v>12</v>
      </c>
      <c r="O150" t="s">
        <v>1052</v>
      </c>
    </row>
    <row r="151" spans="1:15" x14ac:dyDescent="0.25">
      <c r="A151">
        <v>996</v>
      </c>
      <c r="B151" s="6">
        <v>45062</v>
      </c>
      <c r="C151" s="5" t="s">
        <v>171</v>
      </c>
      <c r="D151" s="5" t="s">
        <v>2</v>
      </c>
      <c r="E151">
        <v>62</v>
      </c>
      <c r="F151" s="5" t="s">
        <v>19</v>
      </c>
      <c r="G151">
        <v>1</v>
      </c>
      <c r="H151" s="11">
        <v>50</v>
      </c>
      <c r="I151" s="11">
        <v>50</v>
      </c>
      <c r="J151" t="s">
        <v>24</v>
      </c>
      <c r="K151" t="s">
        <v>1030</v>
      </c>
      <c r="L151" t="s">
        <v>1038</v>
      </c>
      <c r="M151" t="s">
        <v>1041</v>
      </c>
      <c r="N151">
        <v>5</v>
      </c>
      <c r="O151" t="s">
        <v>1032</v>
      </c>
    </row>
    <row r="152" spans="1:15" x14ac:dyDescent="0.25">
      <c r="A152">
        <v>20</v>
      </c>
      <c r="B152" s="6">
        <v>45235</v>
      </c>
      <c r="C152" s="5" t="s">
        <v>172</v>
      </c>
      <c r="D152" s="5" t="s">
        <v>2</v>
      </c>
      <c r="E152">
        <v>22</v>
      </c>
      <c r="F152" s="5" t="s">
        <v>19</v>
      </c>
      <c r="G152">
        <v>3</v>
      </c>
      <c r="H152" s="11">
        <v>300</v>
      </c>
      <c r="I152" s="11">
        <v>900</v>
      </c>
      <c r="J152" t="s">
        <v>22</v>
      </c>
      <c r="K152" t="s">
        <v>1029</v>
      </c>
      <c r="L152" t="s">
        <v>1038</v>
      </c>
      <c r="M152" t="s">
        <v>1047</v>
      </c>
      <c r="N152">
        <v>11</v>
      </c>
      <c r="O152" t="s">
        <v>1048</v>
      </c>
    </row>
    <row r="153" spans="1:15" x14ac:dyDescent="0.25">
      <c r="A153">
        <v>24</v>
      </c>
      <c r="B153" s="6">
        <v>45259</v>
      </c>
      <c r="C153" s="5" t="s">
        <v>173</v>
      </c>
      <c r="D153" s="5" t="s">
        <v>1</v>
      </c>
      <c r="E153">
        <v>49</v>
      </c>
      <c r="F153" s="5" t="s">
        <v>19</v>
      </c>
      <c r="G153">
        <v>1</v>
      </c>
      <c r="H153" s="11">
        <v>300</v>
      </c>
      <c r="I153" s="11">
        <v>300</v>
      </c>
      <c r="J153" t="s">
        <v>20</v>
      </c>
      <c r="K153" t="s">
        <v>1028</v>
      </c>
      <c r="L153" t="s">
        <v>1038</v>
      </c>
      <c r="M153" t="s">
        <v>1047</v>
      </c>
      <c r="N153">
        <v>11</v>
      </c>
      <c r="O153" t="s">
        <v>1048</v>
      </c>
    </row>
    <row r="154" spans="1:15" x14ac:dyDescent="0.25">
      <c r="A154">
        <v>42</v>
      </c>
      <c r="B154" s="6">
        <v>44974</v>
      </c>
      <c r="C154" s="5" t="s">
        <v>174</v>
      </c>
      <c r="D154" s="5" t="s">
        <v>2</v>
      </c>
      <c r="E154">
        <v>22</v>
      </c>
      <c r="F154" s="5" t="s">
        <v>19</v>
      </c>
      <c r="G154">
        <v>3</v>
      </c>
      <c r="H154" s="11">
        <v>300</v>
      </c>
      <c r="I154" s="11">
        <v>900</v>
      </c>
      <c r="J154" t="s">
        <v>22</v>
      </c>
      <c r="K154" t="s">
        <v>1029</v>
      </c>
      <c r="L154" t="s">
        <v>1038</v>
      </c>
      <c r="M154" t="s">
        <v>1039</v>
      </c>
      <c r="N154">
        <v>2</v>
      </c>
      <c r="O154" t="s">
        <v>1044</v>
      </c>
    </row>
    <row r="155" spans="1:15" x14ac:dyDescent="0.25">
      <c r="A155">
        <v>43</v>
      </c>
      <c r="B155" s="6">
        <v>45121</v>
      </c>
      <c r="C155" s="5" t="s">
        <v>175</v>
      </c>
      <c r="D155" s="5" t="s">
        <v>1</v>
      </c>
      <c r="E155">
        <v>48</v>
      </c>
      <c r="F155" s="5" t="s">
        <v>19</v>
      </c>
      <c r="G155">
        <v>1</v>
      </c>
      <c r="H155" s="11">
        <v>300</v>
      </c>
      <c r="I155" s="11">
        <v>300</v>
      </c>
      <c r="J155" t="s">
        <v>20</v>
      </c>
      <c r="K155" t="s">
        <v>1028</v>
      </c>
      <c r="L155" t="s">
        <v>1038</v>
      </c>
      <c r="M155" t="s">
        <v>1033</v>
      </c>
      <c r="N155">
        <v>7</v>
      </c>
      <c r="O155" t="s">
        <v>1046</v>
      </c>
    </row>
    <row r="156" spans="1:15" x14ac:dyDescent="0.25">
      <c r="A156">
        <v>56</v>
      </c>
      <c r="B156" s="6">
        <v>45077</v>
      </c>
      <c r="C156" s="5" t="s">
        <v>176</v>
      </c>
      <c r="D156" s="5" t="s">
        <v>1</v>
      </c>
      <c r="E156">
        <v>26</v>
      </c>
      <c r="F156" s="5" t="s">
        <v>19</v>
      </c>
      <c r="G156">
        <v>3</v>
      </c>
      <c r="H156" s="11">
        <v>300</v>
      </c>
      <c r="I156" s="11">
        <v>900</v>
      </c>
      <c r="J156" t="s">
        <v>22</v>
      </c>
      <c r="K156" t="s">
        <v>1029</v>
      </c>
      <c r="L156" t="s">
        <v>1038</v>
      </c>
      <c r="M156" t="s">
        <v>1041</v>
      </c>
      <c r="N156">
        <v>5</v>
      </c>
      <c r="O156" t="s">
        <v>1032</v>
      </c>
    </row>
    <row r="157" spans="1:15" x14ac:dyDescent="0.25">
      <c r="A157">
        <v>58</v>
      </c>
      <c r="B157" s="6">
        <v>45243</v>
      </c>
      <c r="C157" s="5" t="s">
        <v>177</v>
      </c>
      <c r="D157" s="5" t="s">
        <v>2</v>
      </c>
      <c r="E157">
        <v>18</v>
      </c>
      <c r="F157" s="5" t="s">
        <v>19</v>
      </c>
      <c r="G157">
        <v>4</v>
      </c>
      <c r="H157" s="11">
        <v>300</v>
      </c>
      <c r="I157" s="11">
        <v>1200</v>
      </c>
      <c r="J157" t="s">
        <v>22</v>
      </c>
      <c r="K157" t="s">
        <v>1029</v>
      </c>
      <c r="L157" t="s">
        <v>1038</v>
      </c>
      <c r="M157" t="s">
        <v>1047</v>
      </c>
      <c r="N157">
        <v>11</v>
      </c>
      <c r="O157" t="s">
        <v>1048</v>
      </c>
    </row>
    <row r="158" spans="1:15" x14ac:dyDescent="0.25">
      <c r="A158">
        <v>70</v>
      </c>
      <c r="B158" s="6">
        <v>44978</v>
      </c>
      <c r="C158" s="5" t="s">
        <v>178</v>
      </c>
      <c r="D158" s="5" t="s">
        <v>1</v>
      </c>
      <c r="E158">
        <v>43</v>
      </c>
      <c r="F158" s="5" t="s">
        <v>19</v>
      </c>
      <c r="G158">
        <v>1</v>
      </c>
      <c r="H158" s="11">
        <v>300</v>
      </c>
      <c r="I158" s="11">
        <v>300</v>
      </c>
      <c r="J158" t="s">
        <v>20</v>
      </c>
      <c r="K158" t="s">
        <v>1028</v>
      </c>
      <c r="L158" t="s">
        <v>1038</v>
      </c>
      <c r="M158" t="s">
        <v>1039</v>
      </c>
      <c r="N158">
        <v>2</v>
      </c>
      <c r="O158" t="s">
        <v>1044</v>
      </c>
    </row>
    <row r="159" spans="1:15" x14ac:dyDescent="0.25">
      <c r="A159">
        <v>96</v>
      </c>
      <c r="B159" s="6">
        <v>45279</v>
      </c>
      <c r="C159" s="5" t="s">
        <v>179</v>
      </c>
      <c r="D159" s="5" t="s">
        <v>1</v>
      </c>
      <c r="E159">
        <v>44</v>
      </c>
      <c r="F159" s="5" t="s">
        <v>19</v>
      </c>
      <c r="G159">
        <v>2</v>
      </c>
      <c r="H159" s="11">
        <v>300</v>
      </c>
      <c r="I159" s="11">
        <v>600</v>
      </c>
      <c r="J159" t="s">
        <v>20</v>
      </c>
      <c r="K159" t="s">
        <v>1028</v>
      </c>
      <c r="L159" t="s">
        <v>1038</v>
      </c>
      <c r="M159" t="s">
        <v>1047</v>
      </c>
      <c r="N159">
        <v>12</v>
      </c>
      <c r="O159" t="s">
        <v>1052</v>
      </c>
    </row>
    <row r="160" spans="1:15" x14ac:dyDescent="0.25">
      <c r="A160">
        <v>101</v>
      </c>
      <c r="B160" s="6">
        <v>44955</v>
      </c>
      <c r="C160" s="5" t="s">
        <v>180</v>
      </c>
      <c r="D160" s="5" t="s">
        <v>2</v>
      </c>
      <c r="E160">
        <v>32</v>
      </c>
      <c r="F160" s="5" t="s">
        <v>19</v>
      </c>
      <c r="G160">
        <v>2</v>
      </c>
      <c r="H160" s="11">
        <v>300</v>
      </c>
      <c r="I160" s="11">
        <v>600</v>
      </c>
      <c r="J160" t="s">
        <v>20</v>
      </c>
      <c r="K160" t="s">
        <v>1028</v>
      </c>
      <c r="L160" t="s">
        <v>1038</v>
      </c>
      <c r="M160" t="s">
        <v>1039</v>
      </c>
      <c r="N160">
        <v>1</v>
      </c>
      <c r="O160" t="s">
        <v>1045</v>
      </c>
    </row>
    <row r="161" spans="1:15" x14ac:dyDescent="0.25">
      <c r="A161">
        <v>107</v>
      </c>
      <c r="B161" s="6">
        <v>44960</v>
      </c>
      <c r="C161" s="5" t="s">
        <v>181</v>
      </c>
      <c r="D161" s="5" t="s">
        <v>1</v>
      </c>
      <c r="E161">
        <v>21</v>
      </c>
      <c r="F161" s="5" t="s">
        <v>19</v>
      </c>
      <c r="G161">
        <v>4</v>
      </c>
      <c r="H161" s="11">
        <v>300</v>
      </c>
      <c r="I161" s="11">
        <v>1200</v>
      </c>
      <c r="J161" t="s">
        <v>22</v>
      </c>
      <c r="K161" t="s">
        <v>1029</v>
      </c>
      <c r="L161" t="s">
        <v>1038</v>
      </c>
      <c r="M161" t="s">
        <v>1039</v>
      </c>
      <c r="N161">
        <v>2</v>
      </c>
      <c r="O161" t="s">
        <v>1044</v>
      </c>
    </row>
    <row r="162" spans="1:15" x14ac:dyDescent="0.25">
      <c r="A162">
        <v>110</v>
      </c>
      <c r="B162" s="6">
        <v>45088</v>
      </c>
      <c r="C162" s="5" t="s">
        <v>182</v>
      </c>
      <c r="D162" s="5" t="s">
        <v>2</v>
      </c>
      <c r="E162">
        <v>27</v>
      </c>
      <c r="F162" s="5" t="s">
        <v>19</v>
      </c>
      <c r="G162">
        <v>3</v>
      </c>
      <c r="H162" s="11">
        <v>300</v>
      </c>
      <c r="I162" s="11">
        <v>900</v>
      </c>
      <c r="J162" t="s">
        <v>22</v>
      </c>
      <c r="K162" t="s">
        <v>1029</v>
      </c>
      <c r="L162" t="s">
        <v>1038</v>
      </c>
      <c r="M162" t="s">
        <v>1041</v>
      </c>
      <c r="N162">
        <v>6</v>
      </c>
      <c r="O162" t="s">
        <v>1050</v>
      </c>
    </row>
    <row r="163" spans="1:15" x14ac:dyDescent="0.25">
      <c r="A163">
        <v>165</v>
      </c>
      <c r="B163" s="6">
        <v>45183</v>
      </c>
      <c r="C163" s="5" t="s">
        <v>183</v>
      </c>
      <c r="D163" s="5" t="s">
        <v>1</v>
      </c>
      <c r="E163">
        <v>60</v>
      </c>
      <c r="F163" s="5" t="s">
        <v>19</v>
      </c>
      <c r="G163">
        <v>4</v>
      </c>
      <c r="H163" s="11">
        <v>300</v>
      </c>
      <c r="I163" s="11">
        <v>1200</v>
      </c>
      <c r="J163" t="s">
        <v>24</v>
      </c>
      <c r="K163" t="s">
        <v>1030</v>
      </c>
      <c r="L163" t="s">
        <v>1038</v>
      </c>
      <c r="M163" t="s">
        <v>1033</v>
      </c>
      <c r="N163">
        <v>9</v>
      </c>
      <c r="O163" t="s">
        <v>1043</v>
      </c>
    </row>
    <row r="164" spans="1:15" x14ac:dyDescent="0.25">
      <c r="A164">
        <v>168</v>
      </c>
      <c r="B164" s="6">
        <v>44981</v>
      </c>
      <c r="C164" s="5" t="s">
        <v>184</v>
      </c>
      <c r="D164" s="5" t="s">
        <v>2</v>
      </c>
      <c r="E164">
        <v>53</v>
      </c>
      <c r="F164" s="5" t="s">
        <v>19</v>
      </c>
      <c r="G164">
        <v>1</v>
      </c>
      <c r="H164" s="11">
        <v>300</v>
      </c>
      <c r="I164" s="11">
        <v>300</v>
      </c>
      <c r="J164" t="s">
        <v>20</v>
      </c>
      <c r="K164" t="s">
        <v>1028</v>
      </c>
      <c r="L164" t="s">
        <v>1038</v>
      </c>
      <c r="M164" t="s">
        <v>1039</v>
      </c>
      <c r="N164">
        <v>2</v>
      </c>
      <c r="O164" t="s">
        <v>1044</v>
      </c>
    </row>
    <row r="165" spans="1:15" x14ac:dyDescent="0.25">
      <c r="A165">
        <v>171</v>
      </c>
      <c r="B165" s="6">
        <v>45254</v>
      </c>
      <c r="C165" s="5" t="s">
        <v>185</v>
      </c>
      <c r="D165" s="5" t="s">
        <v>1</v>
      </c>
      <c r="E165">
        <v>52</v>
      </c>
      <c r="F165" s="5" t="s">
        <v>19</v>
      </c>
      <c r="G165">
        <v>3</v>
      </c>
      <c r="H165" s="11">
        <v>300</v>
      </c>
      <c r="I165" s="11">
        <v>900</v>
      </c>
      <c r="J165" t="s">
        <v>20</v>
      </c>
      <c r="K165" t="s">
        <v>1028</v>
      </c>
      <c r="L165" t="s">
        <v>1038</v>
      </c>
      <c r="M165" t="s">
        <v>1047</v>
      </c>
      <c r="N165">
        <v>11</v>
      </c>
      <c r="O165" t="s">
        <v>1048</v>
      </c>
    </row>
    <row r="166" spans="1:15" x14ac:dyDescent="0.25">
      <c r="A166">
        <v>180</v>
      </c>
      <c r="B166" s="6">
        <v>44927</v>
      </c>
      <c r="C166" s="5" t="s">
        <v>186</v>
      </c>
      <c r="D166" s="5" t="s">
        <v>2</v>
      </c>
      <c r="E166">
        <v>41</v>
      </c>
      <c r="F166" s="5" t="s">
        <v>19</v>
      </c>
      <c r="G166">
        <v>3</v>
      </c>
      <c r="H166" s="11">
        <v>300</v>
      </c>
      <c r="I166" s="11">
        <v>900</v>
      </c>
      <c r="J166" t="s">
        <v>20</v>
      </c>
      <c r="K166" t="s">
        <v>1028</v>
      </c>
      <c r="L166" t="s">
        <v>1038</v>
      </c>
      <c r="M166" t="s">
        <v>1039</v>
      </c>
      <c r="N166">
        <v>1</v>
      </c>
      <c r="O166" t="s">
        <v>1045</v>
      </c>
    </row>
    <row r="167" spans="1:15" x14ac:dyDescent="0.25">
      <c r="A167">
        <v>196</v>
      </c>
      <c r="B167" s="6">
        <v>45199</v>
      </c>
      <c r="C167" s="5" t="s">
        <v>187</v>
      </c>
      <c r="D167" s="5" t="s">
        <v>1</v>
      </c>
      <c r="E167">
        <v>32</v>
      </c>
      <c r="F167" s="5" t="s">
        <v>19</v>
      </c>
      <c r="G167">
        <v>3</v>
      </c>
      <c r="H167" s="11">
        <v>300</v>
      </c>
      <c r="I167" s="11">
        <v>900</v>
      </c>
      <c r="J167" t="s">
        <v>20</v>
      </c>
      <c r="K167" t="s">
        <v>1028</v>
      </c>
      <c r="L167" t="s">
        <v>1038</v>
      </c>
      <c r="M167" t="s">
        <v>1033</v>
      </c>
      <c r="N167">
        <v>9</v>
      </c>
      <c r="O167" t="s">
        <v>1043</v>
      </c>
    </row>
    <row r="168" spans="1:15" x14ac:dyDescent="0.25">
      <c r="A168">
        <v>202</v>
      </c>
      <c r="B168" s="6">
        <v>45011</v>
      </c>
      <c r="C168" s="5" t="s">
        <v>188</v>
      </c>
      <c r="D168" s="5" t="s">
        <v>1</v>
      </c>
      <c r="E168">
        <v>34</v>
      </c>
      <c r="F168" s="5" t="s">
        <v>19</v>
      </c>
      <c r="G168">
        <v>4</v>
      </c>
      <c r="H168" s="11">
        <v>300</v>
      </c>
      <c r="I168" s="11">
        <v>1200</v>
      </c>
      <c r="J168" t="s">
        <v>20</v>
      </c>
      <c r="K168" t="s">
        <v>1028</v>
      </c>
      <c r="L168" t="s">
        <v>1038</v>
      </c>
      <c r="M168" t="s">
        <v>1039</v>
      </c>
      <c r="N168">
        <v>3</v>
      </c>
      <c r="O168" t="s">
        <v>1040</v>
      </c>
    </row>
    <row r="169" spans="1:15" x14ac:dyDescent="0.25">
      <c r="A169">
        <v>248</v>
      </c>
      <c r="B169" s="6">
        <v>44994</v>
      </c>
      <c r="C169" s="5" t="s">
        <v>189</v>
      </c>
      <c r="D169" s="5" t="s">
        <v>2</v>
      </c>
      <c r="E169">
        <v>26</v>
      </c>
      <c r="F169" s="5" t="s">
        <v>19</v>
      </c>
      <c r="G169">
        <v>3</v>
      </c>
      <c r="H169" s="11">
        <v>300</v>
      </c>
      <c r="I169" s="11">
        <v>900</v>
      </c>
      <c r="J169" t="s">
        <v>22</v>
      </c>
      <c r="K169" t="s">
        <v>1029</v>
      </c>
      <c r="L169" t="s">
        <v>1038</v>
      </c>
      <c r="M169" t="s">
        <v>1039</v>
      </c>
      <c r="N169">
        <v>3</v>
      </c>
      <c r="O169" t="s">
        <v>1040</v>
      </c>
    </row>
    <row r="170" spans="1:15" x14ac:dyDescent="0.25">
      <c r="A170">
        <v>264</v>
      </c>
      <c r="B170" s="6">
        <v>44954</v>
      </c>
      <c r="C170" s="5" t="s">
        <v>190</v>
      </c>
      <c r="D170" s="5" t="s">
        <v>2</v>
      </c>
      <c r="E170">
        <v>47</v>
      </c>
      <c r="F170" s="5" t="s">
        <v>19</v>
      </c>
      <c r="G170">
        <v>3</v>
      </c>
      <c r="H170" s="11">
        <v>300</v>
      </c>
      <c r="I170" s="11">
        <v>900</v>
      </c>
      <c r="J170" t="s">
        <v>20</v>
      </c>
      <c r="K170" t="s">
        <v>1028</v>
      </c>
      <c r="L170" t="s">
        <v>1038</v>
      </c>
      <c r="M170" t="s">
        <v>1039</v>
      </c>
      <c r="N170">
        <v>1</v>
      </c>
      <c r="O170" t="s">
        <v>1045</v>
      </c>
    </row>
    <row r="171" spans="1:15" x14ac:dyDescent="0.25">
      <c r="A171">
        <v>265</v>
      </c>
      <c r="B171" s="6">
        <v>45271</v>
      </c>
      <c r="C171" s="5" t="s">
        <v>191</v>
      </c>
      <c r="D171" s="5" t="s">
        <v>2</v>
      </c>
      <c r="E171">
        <v>55</v>
      </c>
      <c r="F171" s="5" t="s">
        <v>19</v>
      </c>
      <c r="G171">
        <v>3</v>
      </c>
      <c r="H171" s="11">
        <v>300</v>
      </c>
      <c r="I171" s="11">
        <v>900</v>
      </c>
      <c r="J171" t="s">
        <v>20</v>
      </c>
      <c r="K171" t="s">
        <v>1028</v>
      </c>
      <c r="L171" t="s">
        <v>1038</v>
      </c>
      <c r="M171" t="s">
        <v>1047</v>
      </c>
      <c r="N171">
        <v>12</v>
      </c>
      <c r="O171" t="s">
        <v>1052</v>
      </c>
    </row>
    <row r="172" spans="1:15" x14ac:dyDescent="0.25">
      <c r="A172">
        <v>291</v>
      </c>
      <c r="B172" s="6">
        <v>44934</v>
      </c>
      <c r="C172" s="5" t="s">
        <v>192</v>
      </c>
      <c r="D172" s="5" t="s">
        <v>2</v>
      </c>
      <c r="E172">
        <v>60</v>
      </c>
      <c r="F172" s="5" t="s">
        <v>19</v>
      </c>
      <c r="G172">
        <v>2</v>
      </c>
      <c r="H172" s="11">
        <v>300</v>
      </c>
      <c r="I172" s="11">
        <v>600</v>
      </c>
      <c r="J172" t="s">
        <v>24</v>
      </c>
      <c r="K172" t="s">
        <v>1030</v>
      </c>
      <c r="L172" t="s">
        <v>1038</v>
      </c>
      <c r="M172" t="s">
        <v>1039</v>
      </c>
      <c r="N172">
        <v>1</v>
      </c>
      <c r="O172" t="s">
        <v>1045</v>
      </c>
    </row>
    <row r="173" spans="1:15" x14ac:dyDescent="0.25">
      <c r="A173">
        <v>296</v>
      </c>
      <c r="B173" s="6">
        <v>45175</v>
      </c>
      <c r="C173" s="5" t="s">
        <v>193</v>
      </c>
      <c r="D173" s="5" t="s">
        <v>1</v>
      </c>
      <c r="E173">
        <v>22</v>
      </c>
      <c r="F173" s="5" t="s">
        <v>19</v>
      </c>
      <c r="G173">
        <v>4</v>
      </c>
      <c r="H173" s="11">
        <v>300</v>
      </c>
      <c r="I173" s="11">
        <v>1200</v>
      </c>
      <c r="J173" t="s">
        <v>22</v>
      </c>
      <c r="K173" t="s">
        <v>1029</v>
      </c>
      <c r="L173" t="s">
        <v>1038</v>
      </c>
      <c r="M173" t="s">
        <v>1033</v>
      </c>
      <c r="N173">
        <v>9</v>
      </c>
      <c r="O173" t="s">
        <v>1043</v>
      </c>
    </row>
    <row r="174" spans="1:15" x14ac:dyDescent="0.25">
      <c r="A174">
        <v>340</v>
      </c>
      <c r="B174" s="6">
        <v>45218</v>
      </c>
      <c r="C174" s="5" t="s">
        <v>194</v>
      </c>
      <c r="D174" s="5" t="s">
        <v>1</v>
      </c>
      <c r="E174">
        <v>36</v>
      </c>
      <c r="F174" s="5" t="s">
        <v>19</v>
      </c>
      <c r="G174">
        <v>4</v>
      </c>
      <c r="H174" s="11">
        <v>300</v>
      </c>
      <c r="I174" s="11">
        <v>1200</v>
      </c>
      <c r="J174" t="s">
        <v>20</v>
      </c>
      <c r="K174" t="s">
        <v>1028</v>
      </c>
      <c r="L174" t="s">
        <v>1038</v>
      </c>
      <c r="M174" t="s">
        <v>1047</v>
      </c>
      <c r="N174">
        <v>10</v>
      </c>
      <c r="O174" t="s">
        <v>1049</v>
      </c>
    </row>
    <row r="175" spans="1:15" x14ac:dyDescent="0.25">
      <c r="A175">
        <v>365</v>
      </c>
      <c r="B175" s="6">
        <v>45088</v>
      </c>
      <c r="C175" s="5" t="s">
        <v>195</v>
      </c>
      <c r="D175" s="5" t="s">
        <v>2</v>
      </c>
      <c r="E175">
        <v>31</v>
      </c>
      <c r="F175" s="5" t="s">
        <v>19</v>
      </c>
      <c r="G175">
        <v>1</v>
      </c>
      <c r="H175" s="11">
        <v>300</v>
      </c>
      <c r="I175" s="11">
        <v>300</v>
      </c>
      <c r="J175" t="s">
        <v>20</v>
      </c>
      <c r="K175" t="s">
        <v>1028</v>
      </c>
      <c r="L175" t="s">
        <v>1038</v>
      </c>
      <c r="M175" t="s">
        <v>1041</v>
      </c>
      <c r="N175">
        <v>6</v>
      </c>
      <c r="O175" t="s">
        <v>1050</v>
      </c>
    </row>
    <row r="176" spans="1:15" x14ac:dyDescent="0.25">
      <c r="A176">
        <v>368</v>
      </c>
      <c r="B176" s="6">
        <v>45161</v>
      </c>
      <c r="C176" s="5" t="s">
        <v>196</v>
      </c>
      <c r="D176" s="5" t="s">
        <v>1</v>
      </c>
      <c r="E176">
        <v>56</v>
      </c>
      <c r="F176" s="5" t="s">
        <v>19</v>
      </c>
      <c r="G176">
        <v>4</v>
      </c>
      <c r="H176" s="11">
        <v>300</v>
      </c>
      <c r="I176" s="11">
        <v>1200</v>
      </c>
      <c r="J176" t="s">
        <v>24</v>
      </c>
      <c r="K176" t="s">
        <v>1030</v>
      </c>
      <c r="L176" t="s">
        <v>1038</v>
      </c>
      <c r="M176" t="s">
        <v>1033</v>
      </c>
      <c r="N176">
        <v>8</v>
      </c>
      <c r="O176" t="s">
        <v>1051</v>
      </c>
    </row>
    <row r="177" spans="1:15" x14ac:dyDescent="0.25">
      <c r="A177">
        <v>392</v>
      </c>
      <c r="B177" s="6">
        <v>45268</v>
      </c>
      <c r="C177" s="5" t="s">
        <v>197</v>
      </c>
      <c r="D177" s="5" t="s">
        <v>2</v>
      </c>
      <c r="E177">
        <v>27</v>
      </c>
      <c r="F177" s="5" t="s">
        <v>19</v>
      </c>
      <c r="G177">
        <v>2</v>
      </c>
      <c r="H177" s="11">
        <v>300</v>
      </c>
      <c r="I177" s="11">
        <v>600</v>
      </c>
      <c r="J177" t="s">
        <v>22</v>
      </c>
      <c r="K177" t="s">
        <v>1029</v>
      </c>
      <c r="L177" t="s">
        <v>1038</v>
      </c>
      <c r="M177" t="s">
        <v>1047</v>
      </c>
      <c r="N177">
        <v>12</v>
      </c>
      <c r="O177" t="s">
        <v>1052</v>
      </c>
    </row>
    <row r="178" spans="1:15" x14ac:dyDescent="0.25">
      <c r="A178">
        <v>398</v>
      </c>
      <c r="B178" s="6">
        <v>45062</v>
      </c>
      <c r="C178" s="5" t="s">
        <v>198</v>
      </c>
      <c r="D178" s="5" t="s">
        <v>1</v>
      </c>
      <c r="E178">
        <v>48</v>
      </c>
      <c r="F178" s="5" t="s">
        <v>19</v>
      </c>
      <c r="G178">
        <v>2</v>
      </c>
      <c r="H178" s="11">
        <v>300</v>
      </c>
      <c r="I178" s="11">
        <v>600</v>
      </c>
      <c r="J178" t="s">
        <v>20</v>
      </c>
      <c r="K178" t="s">
        <v>1028</v>
      </c>
      <c r="L178" t="s">
        <v>1038</v>
      </c>
      <c r="M178" t="s">
        <v>1041</v>
      </c>
      <c r="N178">
        <v>5</v>
      </c>
      <c r="O178" t="s">
        <v>1032</v>
      </c>
    </row>
    <row r="179" spans="1:15" x14ac:dyDescent="0.25">
      <c r="A179">
        <v>401</v>
      </c>
      <c r="B179" s="6">
        <v>45210</v>
      </c>
      <c r="C179" s="5" t="s">
        <v>199</v>
      </c>
      <c r="D179" s="5" t="s">
        <v>1</v>
      </c>
      <c r="E179">
        <v>62</v>
      </c>
      <c r="F179" s="5" t="s">
        <v>19</v>
      </c>
      <c r="G179">
        <v>1</v>
      </c>
      <c r="H179" s="11">
        <v>300</v>
      </c>
      <c r="I179" s="11">
        <v>300</v>
      </c>
      <c r="J179" t="s">
        <v>24</v>
      </c>
      <c r="K179" t="s">
        <v>1030</v>
      </c>
      <c r="L179" t="s">
        <v>1038</v>
      </c>
      <c r="M179" t="s">
        <v>1047</v>
      </c>
      <c r="N179">
        <v>10</v>
      </c>
      <c r="O179" t="s">
        <v>1049</v>
      </c>
    </row>
    <row r="180" spans="1:15" x14ac:dyDescent="0.25">
      <c r="A180">
        <v>402</v>
      </c>
      <c r="B180" s="6">
        <v>45006</v>
      </c>
      <c r="C180" s="5" t="s">
        <v>200</v>
      </c>
      <c r="D180" s="5" t="s">
        <v>1</v>
      </c>
      <c r="E180">
        <v>41</v>
      </c>
      <c r="F180" s="5" t="s">
        <v>19</v>
      </c>
      <c r="G180">
        <v>2</v>
      </c>
      <c r="H180" s="11">
        <v>300</v>
      </c>
      <c r="I180" s="11">
        <v>600</v>
      </c>
      <c r="J180" t="s">
        <v>20</v>
      </c>
      <c r="K180" t="s">
        <v>1028</v>
      </c>
      <c r="L180" t="s">
        <v>1038</v>
      </c>
      <c r="M180" t="s">
        <v>1039</v>
      </c>
      <c r="N180">
        <v>3</v>
      </c>
      <c r="O180" t="s">
        <v>1040</v>
      </c>
    </row>
    <row r="181" spans="1:15" x14ac:dyDescent="0.25">
      <c r="A181">
        <v>403</v>
      </c>
      <c r="B181" s="6">
        <v>45066</v>
      </c>
      <c r="C181" s="5" t="s">
        <v>201</v>
      </c>
      <c r="D181" s="5" t="s">
        <v>2</v>
      </c>
      <c r="E181">
        <v>32</v>
      </c>
      <c r="F181" s="5" t="s">
        <v>19</v>
      </c>
      <c r="G181">
        <v>2</v>
      </c>
      <c r="H181" s="11">
        <v>300</v>
      </c>
      <c r="I181" s="11">
        <v>600</v>
      </c>
      <c r="J181" t="s">
        <v>20</v>
      </c>
      <c r="K181" t="s">
        <v>1028</v>
      </c>
      <c r="L181" t="s">
        <v>1038</v>
      </c>
      <c r="M181" t="s">
        <v>1041</v>
      </c>
      <c r="N181">
        <v>5</v>
      </c>
      <c r="O181" t="s">
        <v>1032</v>
      </c>
    </row>
    <row r="182" spans="1:15" x14ac:dyDescent="0.25">
      <c r="A182">
        <v>405</v>
      </c>
      <c r="B182" s="6">
        <v>45236</v>
      </c>
      <c r="C182" s="5" t="s">
        <v>202</v>
      </c>
      <c r="D182" s="5" t="s">
        <v>1</v>
      </c>
      <c r="E182">
        <v>25</v>
      </c>
      <c r="F182" s="5" t="s">
        <v>19</v>
      </c>
      <c r="G182">
        <v>4</v>
      </c>
      <c r="H182" s="11">
        <v>300</v>
      </c>
      <c r="I182" s="11">
        <v>1200</v>
      </c>
      <c r="J182" t="s">
        <v>22</v>
      </c>
      <c r="K182" t="s">
        <v>1029</v>
      </c>
      <c r="L182" t="s">
        <v>1038</v>
      </c>
      <c r="M182" t="s">
        <v>1047</v>
      </c>
      <c r="N182">
        <v>11</v>
      </c>
      <c r="O182" t="s">
        <v>1048</v>
      </c>
    </row>
    <row r="183" spans="1:15" x14ac:dyDescent="0.25">
      <c r="A183">
        <v>440</v>
      </c>
      <c r="B183" s="6">
        <v>45225</v>
      </c>
      <c r="C183" s="5" t="s">
        <v>203</v>
      </c>
      <c r="D183" s="5" t="s">
        <v>2</v>
      </c>
      <c r="E183">
        <v>64</v>
      </c>
      <c r="F183" s="5" t="s">
        <v>19</v>
      </c>
      <c r="G183">
        <v>2</v>
      </c>
      <c r="H183" s="11">
        <v>300</v>
      </c>
      <c r="I183" s="11">
        <v>600</v>
      </c>
      <c r="J183" t="s">
        <v>24</v>
      </c>
      <c r="K183" t="s">
        <v>1030</v>
      </c>
      <c r="L183" t="s">
        <v>1038</v>
      </c>
      <c r="M183" t="s">
        <v>1047</v>
      </c>
      <c r="N183">
        <v>10</v>
      </c>
      <c r="O183" t="s">
        <v>1049</v>
      </c>
    </row>
    <row r="184" spans="1:15" x14ac:dyDescent="0.25">
      <c r="A184">
        <v>443</v>
      </c>
      <c r="B184" s="6">
        <v>45147</v>
      </c>
      <c r="C184" s="5" t="s">
        <v>204</v>
      </c>
      <c r="D184" s="5" t="s">
        <v>2</v>
      </c>
      <c r="E184">
        <v>29</v>
      </c>
      <c r="F184" s="5" t="s">
        <v>19</v>
      </c>
      <c r="G184">
        <v>2</v>
      </c>
      <c r="H184" s="11">
        <v>300</v>
      </c>
      <c r="I184" s="11">
        <v>600</v>
      </c>
      <c r="J184" t="s">
        <v>22</v>
      </c>
      <c r="K184" t="s">
        <v>1029</v>
      </c>
      <c r="L184" t="s">
        <v>1038</v>
      </c>
      <c r="M184" t="s">
        <v>1033</v>
      </c>
      <c r="N184">
        <v>8</v>
      </c>
      <c r="O184" t="s">
        <v>1051</v>
      </c>
    </row>
    <row r="185" spans="1:15" x14ac:dyDescent="0.25">
      <c r="A185">
        <v>459</v>
      </c>
      <c r="B185" s="6">
        <v>45006</v>
      </c>
      <c r="C185" s="5" t="s">
        <v>205</v>
      </c>
      <c r="D185" s="5" t="s">
        <v>2</v>
      </c>
      <c r="E185">
        <v>28</v>
      </c>
      <c r="F185" s="5" t="s">
        <v>19</v>
      </c>
      <c r="G185">
        <v>4</v>
      </c>
      <c r="H185" s="11">
        <v>300</v>
      </c>
      <c r="I185" s="11">
        <v>1200</v>
      </c>
      <c r="J185" t="s">
        <v>22</v>
      </c>
      <c r="K185" t="s">
        <v>1029</v>
      </c>
      <c r="L185" t="s">
        <v>1038</v>
      </c>
      <c r="M185" t="s">
        <v>1039</v>
      </c>
      <c r="N185">
        <v>3</v>
      </c>
      <c r="O185" t="s">
        <v>1040</v>
      </c>
    </row>
    <row r="186" spans="1:15" x14ac:dyDescent="0.25">
      <c r="A186">
        <v>482</v>
      </c>
      <c r="B186" s="6">
        <v>45043</v>
      </c>
      <c r="C186" s="5" t="s">
        <v>206</v>
      </c>
      <c r="D186" s="5" t="s">
        <v>1</v>
      </c>
      <c r="E186">
        <v>28</v>
      </c>
      <c r="F186" s="5" t="s">
        <v>19</v>
      </c>
      <c r="G186">
        <v>4</v>
      </c>
      <c r="H186" s="11">
        <v>300</v>
      </c>
      <c r="I186" s="11">
        <v>1200</v>
      </c>
      <c r="J186" t="s">
        <v>22</v>
      </c>
      <c r="K186" t="s">
        <v>1029</v>
      </c>
      <c r="L186" t="s">
        <v>1038</v>
      </c>
      <c r="M186" t="s">
        <v>1041</v>
      </c>
      <c r="N186">
        <v>4</v>
      </c>
      <c r="O186" t="s">
        <v>1042</v>
      </c>
    </row>
    <row r="187" spans="1:15" x14ac:dyDescent="0.25">
      <c r="A187">
        <v>484</v>
      </c>
      <c r="B187" s="6">
        <v>44939</v>
      </c>
      <c r="C187" s="5" t="s">
        <v>207</v>
      </c>
      <c r="D187" s="5" t="s">
        <v>1</v>
      </c>
      <c r="E187">
        <v>19</v>
      </c>
      <c r="F187" s="5" t="s">
        <v>19</v>
      </c>
      <c r="G187">
        <v>4</v>
      </c>
      <c r="H187" s="11">
        <v>300</v>
      </c>
      <c r="I187" s="11">
        <v>1200</v>
      </c>
      <c r="J187" t="s">
        <v>22</v>
      </c>
      <c r="K187" t="s">
        <v>1029</v>
      </c>
      <c r="L187" t="s">
        <v>1038</v>
      </c>
      <c r="M187" t="s">
        <v>1039</v>
      </c>
      <c r="N187">
        <v>1</v>
      </c>
      <c r="O187" t="s">
        <v>1045</v>
      </c>
    </row>
    <row r="188" spans="1:15" x14ac:dyDescent="0.25">
      <c r="A188">
        <v>496</v>
      </c>
      <c r="B188" s="6">
        <v>45274</v>
      </c>
      <c r="C188" s="5" t="s">
        <v>208</v>
      </c>
      <c r="D188" s="5" t="s">
        <v>2</v>
      </c>
      <c r="E188">
        <v>23</v>
      </c>
      <c r="F188" s="5" t="s">
        <v>19</v>
      </c>
      <c r="G188">
        <v>2</v>
      </c>
      <c r="H188" s="11">
        <v>300</v>
      </c>
      <c r="I188" s="11">
        <v>600</v>
      </c>
      <c r="J188" t="s">
        <v>22</v>
      </c>
      <c r="K188" t="s">
        <v>1029</v>
      </c>
      <c r="L188" t="s">
        <v>1038</v>
      </c>
      <c r="M188" t="s">
        <v>1047</v>
      </c>
      <c r="N188">
        <v>12</v>
      </c>
      <c r="O188" t="s">
        <v>1052</v>
      </c>
    </row>
    <row r="189" spans="1:15" x14ac:dyDescent="0.25">
      <c r="A189">
        <v>515</v>
      </c>
      <c r="B189" s="6">
        <v>45124</v>
      </c>
      <c r="C189" s="5" t="s">
        <v>209</v>
      </c>
      <c r="D189" s="5" t="s">
        <v>1</v>
      </c>
      <c r="E189">
        <v>49</v>
      </c>
      <c r="F189" s="5" t="s">
        <v>19</v>
      </c>
      <c r="G189">
        <v>3</v>
      </c>
      <c r="H189" s="11">
        <v>300</v>
      </c>
      <c r="I189" s="11">
        <v>900</v>
      </c>
      <c r="J189" t="s">
        <v>20</v>
      </c>
      <c r="K189" t="s">
        <v>1028</v>
      </c>
      <c r="L189" t="s">
        <v>1038</v>
      </c>
      <c r="M189" t="s">
        <v>1033</v>
      </c>
      <c r="N189">
        <v>7</v>
      </c>
      <c r="O189" t="s">
        <v>1046</v>
      </c>
    </row>
    <row r="190" spans="1:15" x14ac:dyDescent="0.25">
      <c r="A190">
        <v>550</v>
      </c>
      <c r="B190" s="6">
        <v>45267</v>
      </c>
      <c r="C190" s="5" t="s">
        <v>210</v>
      </c>
      <c r="D190" s="5" t="s">
        <v>2</v>
      </c>
      <c r="E190">
        <v>40</v>
      </c>
      <c r="F190" s="5" t="s">
        <v>19</v>
      </c>
      <c r="G190">
        <v>3</v>
      </c>
      <c r="H190" s="11">
        <v>300</v>
      </c>
      <c r="I190" s="11">
        <v>900</v>
      </c>
      <c r="J190" t="s">
        <v>20</v>
      </c>
      <c r="K190" t="s">
        <v>1028</v>
      </c>
      <c r="L190" t="s">
        <v>1038</v>
      </c>
      <c r="M190" t="s">
        <v>1047</v>
      </c>
      <c r="N190">
        <v>12</v>
      </c>
      <c r="O190" t="s">
        <v>1052</v>
      </c>
    </row>
    <row r="191" spans="1:15" x14ac:dyDescent="0.25">
      <c r="A191">
        <v>553</v>
      </c>
      <c r="B191" s="6">
        <v>45016</v>
      </c>
      <c r="C191" s="5" t="s">
        <v>211</v>
      </c>
      <c r="D191" s="5" t="s">
        <v>2</v>
      </c>
      <c r="E191">
        <v>24</v>
      </c>
      <c r="F191" s="5" t="s">
        <v>19</v>
      </c>
      <c r="G191">
        <v>4</v>
      </c>
      <c r="H191" s="11">
        <v>300</v>
      </c>
      <c r="I191" s="11">
        <v>1200</v>
      </c>
      <c r="J191" t="s">
        <v>22</v>
      </c>
      <c r="K191" t="s">
        <v>1029</v>
      </c>
      <c r="L191" t="s">
        <v>1038</v>
      </c>
      <c r="M191" t="s">
        <v>1039</v>
      </c>
      <c r="N191">
        <v>3</v>
      </c>
      <c r="O191" t="s">
        <v>1040</v>
      </c>
    </row>
    <row r="192" spans="1:15" x14ac:dyDescent="0.25">
      <c r="A192">
        <v>559</v>
      </c>
      <c r="B192" s="6">
        <v>44927</v>
      </c>
      <c r="C192" s="5" t="s">
        <v>212</v>
      </c>
      <c r="D192" s="5" t="s">
        <v>1</v>
      </c>
      <c r="E192">
        <v>40</v>
      </c>
      <c r="F192" s="5" t="s">
        <v>19</v>
      </c>
      <c r="G192">
        <v>4</v>
      </c>
      <c r="H192" s="11">
        <v>300</v>
      </c>
      <c r="I192" s="11">
        <v>1200</v>
      </c>
      <c r="J192" t="s">
        <v>20</v>
      </c>
      <c r="K192" t="s">
        <v>1028</v>
      </c>
      <c r="L192" t="s">
        <v>1038</v>
      </c>
      <c r="M192" t="s">
        <v>1039</v>
      </c>
      <c r="N192">
        <v>1</v>
      </c>
      <c r="O192" t="s">
        <v>1045</v>
      </c>
    </row>
    <row r="193" spans="1:15" x14ac:dyDescent="0.25">
      <c r="A193">
        <v>567</v>
      </c>
      <c r="B193" s="6">
        <v>45091</v>
      </c>
      <c r="C193" s="5" t="s">
        <v>213</v>
      </c>
      <c r="D193" s="5" t="s">
        <v>1</v>
      </c>
      <c r="E193">
        <v>25</v>
      </c>
      <c r="F193" s="5" t="s">
        <v>19</v>
      </c>
      <c r="G193">
        <v>3</v>
      </c>
      <c r="H193" s="11">
        <v>300</v>
      </c>
      <c r="I193" s="11">
        <v>900</v>
      </c>
      <c r="J193" t="s">
        <v>22</v>
      </c>
      <c r="K193" t="s">
        <v>1029</v>
      </c>
      <c r="L193" t="s">
        <v>1038</v>
      </c>
      <c r="M193" t="s">
        <v>1041</v>
      </c>
      <c r="N193">
        <v>6</v>
      </c>
      <c r="O193" t="s">
        <v>1050</v>
      </c>
    </row>
    <row r="194" spans="1:15" x14ac:dyDescent="0.25">
      <c r="A194">
        <v>582</v>
      </c>
      <c r="B194" s="6">
        <v>45244</v>
      </c>
      <c r="C194" s="5" t="s">
        <v>214</v>
      </c>
      <c r="D194" s="5" t="s">
        <v>2</v>
      </c>
      <c r="E194">
        <v>35</v>
      </c>
      <c r="F194" s="5" t="s">
        <v>19</v>
      </c>
      <c r="G194">
        <v>3</v>
      </c>
      <c r="H194" s="11">
        <v>300</v>
      </c>
      <c r="I194" s="11">
        <v>900</v>
      </c>
      <c r="J194" t="s">
        <v>20</v>
      </c>
      <c r="K194" t="s">
        <v>1028</v>
      </c>
      <c r="L194" t="s">
        <v>1038</v>
      </c>
      <c r="M194" t="s">
        <v>1047</v>
      </c>
      <c r="N194">
        <v>11</v>
      </c>
      <c r="O194" t="s">
        <v>1048</v>
      </c>
    </row>
    <row r="195" spans="1:15" x14ac:dyDescent="0.25">
      <c r="A195">
        <v>590</v>
      </c>
      <c r="B195" s="6">
        <v>45002</v>
      </c>
      <c r="C195" s="5" t="s">
        <v>215</v>
      </c>
      <c r="D195" s="5" t="s">
        <v>2</v>
      </c>
      <c r="E195">
        <v>36</v>
      </c>
      <c r="F195" s="5" t="s">
        <v>19</v>
      </c>
      <c r="G195">
        <v>3</v>
      </c>
      <c r="H195" s="11">
        <v>300</v>
      </c>
      <c r="I195" s="11">
        <v>900</v>
      </c>
      <c r="J195" t="s">
        <v>20</v>
      </c>
      <c r="K195" t="s">
        <v>1028</v>
      </c>
      <c r="L195" t="s">
        <v>1038</v>
      </c>
      <c r="M195" t="s">
        <v>1039</v>
      </c>
      <c r="N195">
        <v>3</v>
      </c>
      <c r="O195" t="s">
        <v>1040</v>
      </c>
    </row>
    <row r="196" spans="1:15" x14ac:dyDescent="0.25">
      <c r="A196">
        <v>625</v>
      </c>
      <c r="B196" s="6">
        <v>45268</v>
      </c>
      <c r="C196" s="5" t="s">
        <v>216</v>
      </c>
      <c r="D196" s="5" t="s">
        <v>2</v>
      </c>
      <c r="E196">
        <v>31</v>
      </c>
      <c r="F196" s="5" t="s">
        <v>19</v>
      </c>
      <c r="G196">
        <v>1</v>
      </c>
      <c r="H196" s="11">
        <v>300</v>
      </c>
      <c r="I196" s="11">
        <v>300</v>
      </c>
      <c r="J196" t="s">
        <v>20</v>
      </c>
      <c r="K196" t="s">
        <v>1028</v>
      </c>
      <c r="L196" t="s">
        <v>1038</v>
      </c>
      <c r="M196" t="s">
        <v>1047</v>
      </c>
      <c r="N196">
        <v>12</v>
      </c>
      <c r="O196" t="s">
        <v>1052</v>
      </c>
    </row>
    <row r="197" spans="1:15" x14ac:dyDescent="0.25">
      <c r="A197">
        <v>637</v>
      </c>
      <c r="B197" s="6">
        <v>45170</v>
      </c>
      <c r="C197" s="5" t="s">
        <v>217</v>
      </c>
      <c r="D197" s="5" t="s">
        <v>2</v>
      </c>
      <c r="E197">
        <v>43</v>
      </c>
      <c r="F197" s="5" t="s">
        <v>19</v>
      </c>
      <c r="G197">
        <v>2</v>
      </c>
      <c r="H197" s="11">
        <v>300</v>
      </c>
      <c r="I197" s="11">
        <v>600</v>
      </c>
      <c r="J197" t="s">
        <v>20</v>
      </c>
      <c r="K197" t="s">
        <v>1028</v>
      </c>
      <c r="L197" t="s">
        <v>1038</v>
      </c>
      <c r="M197" t="s">
        <v>1033</v>
      </c>
      <c r="N197">
        <v>9</v>
      </c>
      <c r="O197" t="s">
        <v>1043</v>
      </c>
    </row>
    <row r="198" spans="1:15" x14ac:dyDescent="0.25">
      <c r="A198">
        <v>649</v>
      </c>
      <c r="B198" s="6">
        <v>44966</v>
      </c>
      <c r="C198" s="5" t="s">
        <v>218</v>
      </c>
      <c r="D198" s="5" t="s">
        <v>1</v>
      </c>
      <c r="E198">
        <v>58</v>
      </c>
      <c r="F198" s="5" t="s">
        <v>19</v>
      </c>
      <c r="G198">
        <v>2</v>
      </c>
      <c r="H198" s="11">
        <v>300</v>
      </c>
      <c r="I198" s="11">
        <v>600</v>
      </c>
      <c r="J198" t="s">
        <v>24</v>
      </c>
      <c r="K198" t="s">
        <v>1030</v>
      </c>
      <c r="L198" t="s">
        <v>1038</v>
      </c>
      <c r="M198" t="s">
        <v>1039</v>
      </c>
      <c r="N198">
        <v>2</v>
      </c>
      <c r="O198" t="s">
        <v>1044</v>
      </c>
    </row>
    <row r="199" spans="1:15" x14ac:dyDescent="0.25">
      <c r="A199">
        <v>663</v>
      </c>
      <c r="B199" s="6">
        <v>45005</v>
      </c>
      <c r="C199" s="5" t="s">
        <v>219</v>
      </c>
      <c r="D199" s="5" t="s">
        <v>2</v>
      </c>
      <c r="E199">
        <v>23</v>
      </c>
      <c r="F199" s="5" t="s">
        <v>19</v>
      </c>
      <c r="G199">
        <v>4</v>
      </c>
      <c r="H199" s="11">
        <v>300</v>
      </c>
      <c r="I199" s="11">
        <v>1200</v>
      </c>
      <c r="J199" t="s">
        <v>22</v>
      </c>
      <c r="K199" t="s">
        <v>1029</v>
      </c>
      <c r="L199" t="s">
        <v>1038</v>
      </c>
      <c r="M199" t="s">
        <v>1039</v>
      </c>
      <c r="N199">
        <v>3</v>
      </c>
      <c r="O199" t="s">
        <v>1040</v>
      </c>
    </row>
    <row r="200" spans="1:15" x14ac:dyDescent="0.25">
      <c r="A200">
        <v>674</v>
      </c>
      <c r="B200" s="6">
        <v>45032</v>
      </c>
      <c r="C200" s="5" t="s">
        <v>220</v>
      </c>
      <c r="D200" s="5" t="s">
        <v>1</v>
      </c>
      <c r="E200">
        <v>38</v>
      </c>
      <c r="F200" s="5" t="s">
        <v>19</v>
      </c>
      <c r="G200">
        <v>1</v>
      </c>
      <c r="H200" s="11">
        <v>300</v>
      </c>
      <c r="I200" s="11">
        <v>300</v>
      </c>
      <c r="J200" t="s">
        <v>20</v>
      </c>
      <c r="K200" t="s">
        <v>1028</v>
      </c>
      <c r="L200" t="s">
        <v>1038</v>
      </c>
      <c r="M200" t="s">
        <v>1041</v>
      </c>
      <c r="N200">
        <v>4</v>
      </c>
      <c r="O200" t="s">
        <v>1042</v>
      </c>
    </row>
    <row r="201" spans="1:15" x14ac:dyDescent="0.25">
      <c r="A201">
        <v>680</v>
      </c>
      <c r="B201" s="6">
        <v>45221</v>
      </c>
      <c r="C201" s="5" t="s">
        <v>221</v>
      </c>
      <c r="D201" s="5" t="s">
        <v>1</v>
      </c>
      <c r="E201">
        <v>53</v>
      </c>
      <c r="F201" s="5" t="s">
        <v>19</v>
      </c>
      <c r="G201">
        <v>3</v>
      </c>
      <c r="H201" s="11">
        <v>300</v>
      </c>
      <c r="I201" s="11">
        <v>900</v>
      </c>
      <c r="J201" t="s">
        <v>20</v>
      </c>
      <c r="K201" t="s">
        <v>1028</v>
      </c>
      <c r="L201" t="s">
        <v>1038</v>
      </c>
      <c r="M201" t="s">
        <v>1047</v>
      </c>
      <c r="N201">
        <v>10</v>
      </c>
      <c r="O201" t="s">
        <v>1049</v>
      </c>
    </row>
    <row r="202" spans="1:15" x14ac:dyDescent="0.25">
      <c r="A202">
        <v>690</v>
      </c>
      <c r="B202" s="6">
        <v>45235</v>
      </c>
      <c r="C202" s="5" t="s">
        <v>222</v>
      </c>
      <c r="D202" s="5" t="s">
        <v>1</v>
      </c>
      <c r="E202">
        <v>52</v>
      </c>
      <c r="F202" s="5" t="s">
        <v>19</v>
      </c>
      <c r="G202">
        <v>3</v>
      </c>
      <c r="H202" s="11">
        <v>300</v>
      </c>
      <c r="I202" s="11">
        <v>900</v>
      </c>
      <c r="J202" t="s">
        <v>20</v>
      </c>
      <c r="K202" t="s">
        <v>1028</v>
      </c>
      <c r="L202" t="s">
        <v>1038</v>
      </c>
      <c r="M202" t="s">
        <v>1047</v>
      </c>
      <c r="N202">
        <v>11</v>
      </c>
      <c r="O202" t="s">
        <v>1048</v>
      </c>
    </row>
    <row r="203" spans="1:15" x14ac:dyDescent="0.25">
      <c r="A203">
        <v>702</v>
      </c>
      <c r="B203" s="6">
        <v>45134</v>
      </c>
      <c r="C203" s="5" t="s">
        <v>223</v>
      </c>
      <c r="D203" s="5" t="s">
        <v>1</v>
      </c>
      <c r="E203">
        <v>60</v>
      </c>
      <c r="F203" s="5" t="s">
        <v>19</v>
      </c>
      <c r="G203">
        <v>2</v>
      </c>
      <c r="H203" s="11">
        <v>300</v>
      </c>
      <c r="I203" s="11">
        <v>600</v>
      </c>
      <c r="J203" t="s">
        <v>24</v>
      </c>
      <c r="K203" t="s">
        <v>1030</v>
      </c>
      <c r="L203" t="s">
        <v>1038</v>
      </c>
      <c r="M203" t="s">
        <v>1033</v>
      </c>
      <c r="N203">
        <v>7</v>
      </c>
      <c r="O203" t="s">
        <v>1046</v>
      </c>
    </row>
    <row r="204" spans="1:15" x14ac:dyDescent="0.25">
      <c r="A204">
        <v>716</v>
      </c>
      <c r="B204" s="6">
        <v>45146</v>
      </c>
      <c r="C204" s="5" t="s">
        <v>224</v>
      </c>
      <c r="D204" s="5" t="s">
        <v>1</v>
      </c>
      <c r="E204">
        <v>60</v>
      </c>
      <c r="F204" s="5" t="s">
        <v>19</v>
      </c>
      <c r="G204">
        <v>4</v>
      </c>
      <c r="H204" s="11">
        <v>300</v>
      </c>
      <c r="I204" s="11">
        <v>1200</v>
      </c>
      <c r="J204" t="s">
        <v>24</v>
      </c>
      <c r="K204" t="s">
        <v>1030</v>
      </c>
      <c r="L204" t="s">
        <v>1038</v>
      </c>
      <c r="M204" t="s">
        <v>1033</v>
      </c>
      <c r="N204">
        <v>8</v>
      </c>
      <c r="O204" t="s">
        <v>1051</v>
      </c>
    </row>
    <row r="205" spans="1:15" x14ac:dyDescent="0.25">
      <c r="A205">
        <v>726</v>
      </c>
      <c r="B205" s="6">
        <v>45094</v>
      </c>
      <c r="C205" s="5" t="s">
        <v>225</v>
      </c>
      <c r="D205" s="5" t="s">
        <v>2</v>
      </c>
      <c r="E205">
        <v>47</v>
      </c>
      <c r="F205" s="5" t="s">
        <v>19</v>
      </c>
      <c r="G205">
        <v>4</v>
      </c>
      <c r="H205" s="11">
        <v>300</v>
      </c>
      <c r="I205" s="11">
        <v>1200</v>
      </c>
      <c r="J205" t="s">
        <v>20</v>
      </c>
      <c r="K205" t="s">
        <v>1028</v>
      </c>
      <c r="L205" t="s">
        <v>1038</v>
      </c>
      <c r="M205" t="s">
        <v>1041</v>
      </c>
      <c r="N205">
        <v>6</v>
      </c>
      <c r="O205" t="s">
        <v>1050</v>
      </c>
    </row>
    <row r="206" spans="1:15" x14ac:dyDescent="0.25">
      <c r="A206">
        <v>729</v>
      </c>
      <c r="B206" s="6">
        <v>45069</v>
      </c>
      <c r="C206" s="5" t="s">
        <v>226</v>
      </c>
      <c r="D206" s="5" t="s">
        <v>2</v>
      </c>
      <c r="E206">
        <v>29</v>
      </c>
      <c r="F206" s="5" t="s">
        <v>19</v>
      </c>
      <c r="G206">
        <v>4</v>
      </c>
      <c r="H206" s="11">
        <v>300</v>
      </c>
      <c r="I206" s="11">
        <v>1200</v>
      </c>
      <c r="J206" t="s">
        <v>22</v>
      </c>
      <c r="K206" t="s">
        <v>1029</v>
      </c>
      <c r="L206" t="s">
        <v>1038</v>
      </c>
      <c r="M206" t="s">
        <v>1041</v>
      </c>
      <c r="N206">
        <v>5</v>
      </c>
      <c r="O206" t="s">
        <v>1032</v>
      </c>
    </row>
    <row r="207" spans="1:15" x14ac:dyDescent="0.25">
      <c r="A207">
        <v>741</v>
      </c>
      <c r="B207" s="6">
        <v>45260</v>
      </c>
      <c r="C207" s="5" t="s">
        <v>227</v>
      </c>
      <c r="D207" s="5" t="s">
        <v>2</v>
      </c>
      <c r="E207">
        <v>48</v>
      </c>
      <c r="F207" s="5" t="s">
        <v>19</v>
      </c>
      <c r="G207">
        <v>1</v>
      </c>
      <c r="H207" s="11">
        <v>300</v>
      </c>
      <c r="I207" s="11">
        <v>300</v>
      </c>
      <c r="J207" t="s">
        <v>20</v>
      </c>
      <c r="K207" t="s">
        <v>1028</v>
      </c>
      <c r="L207" t="s">
        <v>1038</v>
      </c>
      <c r="M207" t="s">
        <v>1047</v>
      </c>
      <c r="N207">
        <v>11</v>
      </c>
      <c r="O207" t="s">
        <v>1048</v>
      </c>
    </row>
    <row r="208" spans="1:15" x14ac:dyDescent="0.25">
      <c r="A208">
        <v>782</v>
      </c>
      <c r="B208" s="6">
        <v>45081</v>
      </c>
      <c r="C208" s="5" t="s">
        <v>228</v>
      </c>
      <c r="D208" s="5" t="s">
        <v>2</v>
      </c>
      <c r="E208">
        <v>59</v>
      </c>
      <c r="F208" s="5" t="s">
        <v>19</v>
      </c>
      <c r="G208">
        <v>3</v>
      </c>
      <c r="H208" s="11">
        <v>300</v>
      </c>
      <c r="I208" s="11">
        <v>900</v>
      </c>
      <c r="J208" t="s">
        <v>24</v>
      </c>
      <c r="K208" t="s">
        <v>1030</v>
      </c>
      <c r="L208" t="s">
        <v>1038</v>
      </c>
      <c r="M208" t="s">
        <v>1041</v>
      </c>
      <c r="N208">
        <v>6</v>
      </c>
      <c r="O208" t="s">
        <v>1050</v>
      </c>
    </row>
    <row r="209" spans="1:15" x14ac:dyDescent="0.25">
      <c r="A209">
        <v>783</v>
      </c>
      <c r="B209" s="6">
        <v>45277</v>
      </c>
      <c r="C209" s="5" t="s">
        <v>229</v>
      </c>
      <c r="D209" s="5" t="s">
        <v>1</v>
      </c>
      <c r="E209">
        <v>56</v>
      </c>
      <c r="F209" s="5" t="s">
        <v>19</v>
      </c>
      <c r="G209">
        <v>1</v>
      </c>
      <c r="H209" s="11">
        <v>300</v>
      </c>
      <c r="I209" s="11">
        <v>300</v>
      </c>
      <c r="J209" t="s">
        <v>24</v>
      </c>
      <c r="K209" t="s">
        <v>1030</v>
      </c>
      <c r="L209" t="s">
        <v>1038</v>
      </c>
      <c r="M209" t="s">
        <v>1047</v>
      </c>
      <c r="N209">
        <v>12</v>
      </c>
      <c r="O209" t="s">
        <v>1052</v>
      </c>
    </row>
    <row r="210" spans="1:15" x14ac:dyDescent="0.25">
      <c r="A210">
        <v>800</v>
      </c>
      <c r="B210" s="6">
        <v>44981</v>
      </c>
      <c r="C210" s="5" t="s">
        <v>230</v>
      </c>
      <c r="D210" s="5" t="s">
        <v>2</v>
      </c>
      <c r="E210">
        <v>32</v>
      </c>
      <c r="F210" s="5" t="s">
        <v>19</v>
      </c>
      <c r="G210">
        <v>4</v>
      </c>
      <c r="H210" s="11">
        <v>300</v>
      </c>
      <c r="I210" s="11">
        <v>1200</v>
      </c>
      <c r="J210" t="s">
        <v>20</v>
      </c>
      <c r="K210" t="s">
        <v>1028</v>
      </c>
      <c r="L210" t="s">
        <v>1038</v>
      </c>
      <c r="M210" t="s">
        <v>1039</v>
      </c>
      <c r="N210">
        <v>2</v>
      </c>
      <c r="O210" t="s">
        <v>1044</v>
      </c>
    </row>
    <row r="211" spans="1:15" x14ac:dyDescent="0.25">
      <c r="A211">
        <v>826</v>
      </c>
      <c r="B211" s="6">
        <v>45218</v>
      </c>
      <c r="C211" s="5" t="s">
        <v>231</v>
      </c>
      <c r="D211" s="5" t="s">
        <v>1</v>
      </c>
      <c r="E211">
        <v>46</v>
      </c>
      <c r="F211" s="5" t="s">
        <v>19</v>
      </c>
      <c r="G211">
        <v>1</v>
      </c>
      <c r="H211" s="11">
        <v>300</v>
      </c>
      <c r="I211" s="11">
        <v>300</v>
      </c>
      <c r="J211" t="s">
        <v>20</v>
      </c>
      <c r="K211" t="s">
        <v>1028</v>
      </c>
      <c r="L211" t="s">
        <v>1038</v>
      </c>
      <c r="M211" t="s">
        <v>1047</v>
      </c>
      <c r="N211">
        <v>10</v>
      </c>
      <c r="O211" t="s">
        <v>1049</v>
      </c>
    </row>
    <row r="212" spans="1:15" x14ac:dyDescent="0.25">
      <c r="A212">
        <v>842</v>
      </c>
      <c r="B212" s="6">
        <v>45286</v>
      </c>
      <c r="C212" s="5" t="s">
        <v>232</v>
      </c>
      <c r="D212" s="5" t="s">
        <v>1</v>
      </c>
      <c r="E212">
        <v>47</v>
      </c>
      <c r="F212" s="5" t="s">
        <v>19</v>
      </c>
      <c r="G212">
        <v>2</v>
      </c>
      <c r="H212" s="11">
        <v>300</v>
      </c>
      <c r="I212" s="11">
        <v>600</v>
      </c>
      <c r="J212" t="s">
        <v>20</v>
      </c>
      <c r="K212" t="s">
        <v>1028</v>
      </c>
      <c r="L212" t="s">
        <v>1038</v>
      </c>
      <c r="M212" t="s">
        <v>1047</v>
      </c>
      <c r="N212">
        <v>12</v>
      </c>
      <c r="O212" t="s">
        <v>1052</v>
      </c>
    </row>
    <row r="213" spans="1:15" x14ac:dyDescent="0.25">
      <c r="A213">
        <v>852</v>
      </c>
      <c r="B213" s="6">
        <v>45211</v>
      </c>
      <c r="C213" s="5" t="s">
        <v>233</v>
      </c>
      <c r="D213" s="5" t="s">
        <v>1</v>
      </c>
      <c r="E213">
        <v>41</v>
      </c>
      <c r="F213" s="5" t="s">
        <v>19</v>
      </c>
      <c r="G213">
        <v>1</v>
      </c>
      <c r="H213" s="11">
        <v>300</v>
      </c>
      <c r="I213" s="11">
        <v>300</v>
      </c>
      <c r="J213" t="s">
        <v>20</v>
      </c>
      <c r="K213" t="s">
        <v>1028</v>
      </c>
      <c r="L213" t="s">
        <v>1038</v>
      </c>
      <c r="M213" t="s">
        <v>1047</v>
      </c>
      <c r="N213">
        <v>10</v>
      </c>
      <c r="O213" t="s">
        <v>1049</v>
      </c>
    </row>
    <row r="214" spans="1:15" x14ac:dyDescent="0.25">
      <c r="A214">
        <v>865</v>
      </c>
      <c r="B214" s="6">
        <v>45281</v>
      </c>
      <c r="C214" s="5" t="s">
        <v>234</v>
      </c>
      <c r="D214" s="5" t="s">
        <v>1</v>
      </c>
      <c r="E214">
        <v>42</v>
      </c>
      <c r="F214" s="5" t="s">
        <v>19</v>
      </c>
      <c r="G214">
        <v>1</v>
      </c>
      <c r="H214" s="11">
        <v>300</v>
      </c>
      <c r="I214" s="11">
        <v>300</v>
      </c>
      <c r="J214" t="s">
        <v>20</v>
      </c>
      <c r="K214" t="s">
        <v>1028</v>
      </c>
      <c r="L214" t="s">
        <v>1038</v>
      </c>
      <c r="M214" t="s">
        <v>1047</v>
      </c>
      <c r="N214">
        <v>12</v>
      </c>
      <c r="O214" t="s">
        <v>1052</v>
      </c>
    </row>
    <row r="215" spans="1:15" x14ac:dyDescent="0.25">
      <c r="A215">
        <v>899</v>
      </c>
      <c r="B215" s="6">
        <v>45071</v>
      </c>
      <c r="C215" s="5" t="s">
        <v>235</v>
      </c>
      <c r="D215" s="5" t="s">
        <v>2</v>
      </c>
      <c r="E215">
        <v>26</v>
      </c>
      <c r="F215" s="5" t="s">
        <v>19</v>
      </c>
      <c r="G215">
        <v>2</v>
      </c>
      <c r="H215" s="11">
        <v>300</v>
      </c>
      <c r="I215" s="11">
        <v>600</v>
      </c>
      <c r="J215" t="s">
        <v>22</v>
      </c>
      <c r="K215" t="s">
        <v>1029</v>
      </c>
      <c r="L215" t="s">
        <v>1038</v>
      </c>
      <c r="M215" t="s">
        <v>1041</v>
      </c>
      <c r="N215">
        <v>5</v>
      </c>
      <c r="O215" t="s">
        <v>1032</v>
      </c>
    </row>
    <row r="216" spans="1:15" x14ac:dyDescent="0.25">
      <c r="A216">
        <v>928</v>
      </c>
      <c r="B216" s="6">
        <v>45021</v>
      </c>
      <c r="C216" s="5" t="s">
        <v>236</v>
      </c>
      <c r="D216" s="5" t="s">
        <v>1</v>
      </c>
      <c r="E216">
        <v>35</v>
      </c>
      <c r="F216" s="5" t="s">
        <v>19</v>
      </c>
      <c r="G216">
        <v>4</v>
      </c>
      <c r="H216" s="11">
        <v>300</v>
      </c>
      <c r="I216" s="11">
        <v>1200</v>
      </c>
      <c r="J216" t="s">
        <v>20</v>
      </c>
      <c r="K216" t="s">
        <v>1028</v>
      </c>
      <c r="L216" t="s">
        <v>1038</v>
      </c>
      <c r="M216" t="s">
        <v>1041</v>
      </c>
      <c r="N216">
        <v>4</v>
      </c>
      <c r="O216" t="s">
        <v>1042</v>
      </c>
    </row>
    <row r="217" spans="1:15" x14ac:dyDescent="0.25">
      <c r="A217">
        <v>943</v>
      </c>
      <c r="B217" s="6">
        <v>45215</v>
      </c>
      <c r="C217" s="5" t="s">
        <v>237</v>
      </c>
      <c r="D217" s="5" t="s">
        <v>1</v>
      </c>
      <c r="E217">
        <v>57</v>
      </c>
      <c r="F217" s="5" t="s">
        <v>19</v>
      </c>
      <c r="G217">
        <v>4</v>
      </c>
      <c r="H217" s="11">
        <v>300</v>
      </c>
      <c r="I217" s="11">
        <v>1200</v>
      </c>
      <c r="J217" t="s">
        <v>24</v>
      </c>
      <c r="K217" t="s">
        <v>1030</v>
      </c>
      <c r="L217" t="s">
        <v>1038</v>
      </c>
      <c r="M217" t="s">
        <v>1047</v>
      </c>
      <c r="N217">
        <v>10</v>
      </c>
      <c r="O217" t="s">
        <v>1049</v>
      </c>
    </row>
    <row r="218" spans="1:15" x14ac:dyDescent="0.25">
      <c r="A218">
        <v>950</v>
      </c>
      <c r="B218" s="6">
        <v>45237</v>
      </c>
      <c r="C218" s="5" t="s">
        <v>238</v>
      </c>
      <c r="D218" s="5" t="s">
        <v>2</v>
      </c>
      <c r="E218">
        <v>36</v>
      </c>
      <c r="F218" s="5" t="s">
        <v>19</v>
      </c>
      <c r="G218">
        <v>3</v>
      </c>
      <c r="H218" s="11">
        <v>300</v>
      </c>
      <c r="I218" s="11">
        <v>900</v>
      </c>
      <c r="J218" t="s">
        <v>20</v>
      </c>
      <c r="K218" t="s">
        <v>1028</v>
      </c>
      <c r="L218" t="s">
        <v>1038</v>
      </c>
      <c r="M218" t="s">
        <v>1047</v>
      </c>
      <c r="N218">
        <v>11</v>
      </c>
      <c r="O218" t="s">
        <v>1048</v>
      </c>
    </row>
    <row r="219" spans="1:15" x14ac:dyDescent="0.25">
      <c r="A219">
        <v>964</v>
      </c>
      <c r="B219" s="6">
        <v>44957</v>
      </c>
      <c r="C219" s="5" t="s">
        <v>239</v>
      </c>
      <c r="D219" s="5" t="s">
        <v>2</v>
      </c>
      <c r="E219">
        <v>24</v>
      </c>
      <c r="F219" s="5" t="s">
        <v>19</v>
      </c>
      <c r="G219">
        <v>3</v>
      </c>
      <c r="H219" s="11">
        <v>300</v>
      </c>
      <c r="I219" s="11">
        <v>900</v>
      </c>
      <c r="J219" t="s">
        <v>22</v>
      </c>
      <c r="K219" t="s">
        <v>1029</v>
      </c>
      <c r="L219" t="s">
        <v>1038</v>
      </c>
      <c r="M219" t="s">
        <v>1039</v>
      </c>
      <c r="N219">
        <v>1</v>
      </c>
      <c r="O219" t="s">
        <v>1045</v>
      </c>
    </row>
    <row r="220" spans="1:15" x14ac:dyDescent="0.25">
      <c r="A220">
        <v>968</v>
      </c>
      <c r="B220" s="6">
        <v>45247</v>
      </c>
      <c r="C220" s="5" t="s">
        <v>240</v>
      </c>
      <c r="D220" s="5" t="s">
        <v>1</v>
      </c>
      <c r="E220">
        <v>48</v>
      </c>
      <c r="F220" s="5" t="s">
        <v>19</v>
      </c>
      <c r="G220">
        <v>3</v>
      </c>
      <c r="H220" s="11">
        <v>300</v>
      </c>
      <c r="I220" s="11">
        <v>900</v>
      </c>
      <c r="J220" t="s">
        <v>20</v>
      </c>
      <c r="K220" t="s">
        <v>1028</v>
      </c>
      <c r="L220" t="s">
        <v>1038</v>
      </c>
      <c r="M220" t="s">
        <v>1047</v>
      </c>
      <c r="N220">
        <v>11</v>
      </c>
      <c r="O220" t="s">
        <v>1048</v>
      </c>
    </row>
    <row r="221" spans="1:15" x14ac:dyDescent="0.25">
      <c r="A221">
        <v>969</v>
      </c>
      <c r="B221" s="6">
        <v>45035</v>
      </c>
      <c r="C221" s="5" t="s">
        <v>241</v>
      </c>
      <c r="D221" s="5" t="s">
        <v>1</v>
      </c>
      <c r="E221">
        <v>40</v>
      </c>
      <c r="F221" s="5" t="s">
        <v>19</v>
      </c>
      <c r="G221">
        <v>3</v>
      </c>
      <c r="H221" s="11">
        <v>300</v>
      </c>
      <c r="I221" s="11">
        <v>900</v>
      </c>
      <c r="J221" t="s">
        <v>20</v>
      </c>
      <c r="K221" t="s">
        <v>1028</v>
      </c>
      <c r="L221" t="s">
        <v>1038</v>
      </c>
      <c r="M221" t="s">
        <v>1041</v>
      </c>
      <c r="N221">
        <v>4</v>
      </c>
      <c r="O221" t="s">
        <v>1042</v>
      </c>
    </row>
    <row r="222" spans="1:15" x14ac:dyDescent="0.25">
      <c r="A222">
        <v>983</v>
      </c>
      <c r="B222" s="6">
        <v>45231</v>
      </c>
      <c r="C222" s="5" t="s">
        <v>242</v>
      </c>
      <c r="D222" s="5" t="s">
        <v>1</v>
      </c>
      <c r="E222">
        <v>29</v>
      </c>
      <c r="F222" s="5" t="s">
        <v>19</v>
      </c>
      <c r="G222">
        <v>1</v>
      </c>
      <c r="H222" s="11">
        <v>300</v>
      </c>
      <c r="I222" s="11">
        <v>300</v>
      </c>
      <c r="J222" t="s">
        <v>22</v>
      </c>
      <c r="K222" t="s">
        <v>1029</v>
      </c>
      <c r="L222" t="s">
        <v>1038</v>
      </c>
      <c r="M222" t="s">
        <v>1047</v>
      </c>
      <c r="N222">
        <v>11</v>
      </c>
      <c r="O222" t="s">
        <v>1048</v>
      </c>
    </row>
    <row r="223" spans="1:15" x14ac:dyDescent="0.25">
      <c r="A223">
        <v>987</v>
      </c>
      <c r="B223" s="6">
        <v>45045</v>
      </c>
      <c r="C223" s="5" t="s">
        <v>243</v>
      </c>
      <c r="D223" s="5" t="s">
        <v>1</v>
      </c>
      <c r="E223">
        <v>30</v>
      </c>
      <c r="F223" s="5" t="s">
        <v>19</v>
      </c>
      <c r="G223">
        <v>3</v>
      </c>
      <c r="H223" s="11">
        <v>300</v>
      </c>
      <c r="I223" s="11">
        <v>900</v>
      </c>
      <c r="J223" t="s">
        <v>20</v>
      </c>
      <c r="K223" t="s">
        <v>1028</v>
      </c>
      <c r="L223" t="s">
        <v>1038</v>
      </c>
      <c r="M223" t="s">
        <v>1041</v>
      </c>
      <c r="N223">
        <v>4</v>
      </c>
      <c r="O223" t="s">
        <v>1042</v>
      </c>
    </row>
    <row r="224" spans="1:15" x14ac:dyDescent="0.25">
      <c r="A224">
        <v>14</v>
      </c>
      <c r="B224" s="6">
        <v>44943</v>
      </c>
      <c r="C224" s="5" t="s">
        <v>244</v>
      </c>
      <c r="D224" s="5" t="s">
        <v>2</v>
      </c>
      <c r="E224">
        <v>64</v>
      </c>
      <c r="F224" s="5" t="s">
        <v>19</v>
      </c>
      <c r="G224">
        <v>4</v>
      </c>
      <c r="H224" s="11">
        <v>30</v>
      </c>
      <c r="I224" s="11">
        <v>120</v>
      </c>
      <c r="J224" t="s">
        <v>24</v>
      </c>
      <c r="K224" t="s">
        <v>1030</v>
      </c>
      <c r="L224" t="s">
        <v>1038</v>
      </c>
      <c r="M224" t="s">
        <v>1039</v>
      </c>
      <c r="N224">
        <v>1</v>
      </c>
      <c r="O224" t="s">
        <v>1045</v>
      </c>
    </row>
    <row r="225" spans="1:15" x14ac:dyDescent="0.25">
      <c r="A225">
        <v>23</v>
      </c>
      <c r="B225" s="6">
        <v>45028</v>
      </c>
      <c r="C225" s="5" t="s">
        <v>245</v>
      </c>
      <c r="D225" s="5" t="s">
        <v>1</v>
      </c>
      <c r="E225">
        <v>35</v>
      </c>
      <c r="F225" s="5" t="s">
        <v>19</v>
      </c>
      <c r="G225">
        <v>4</v>
      </c>
      <c r="H225" s="11">
        <v>30</v>
      </c>
      <c r="I225" s="11">
        <v>120</v>
      </c>
      <c r="J225" t="s">
        <v>20</v>
      </c>
      <c r="K225" t="s">
        <v>1028</v>
      </c>
      <c r="L225" t="s">
        <v>1038</v>
      </c>
      <c r="M225" t="s">
        <v>1041</v>
      </c>
      <c r="N225">
        <v>4</v>
      </c>
      <c r="O225" t="s">
        <v>1042</v>
      </c>
    </row>
    <row r="226" spans="1:15" x14ac:dyDescent="0.25">
      <c r="A226">
        <v>39</v>
      </c>
      <c r="B226" s="6">
        <v>45037</v>
      </c>
      <c r="C226" s="5" t="s">
        <v>246</v>
      </c>
      <c r="D226" s="5" t="s">
        <v>2</v>
      </c>
      <c r="E226">
        <v>23</v>
      </c>
      <c r="F226" s="5" t="s">
        <v>19</v>
      </c>
      <c r="G226">
        <v>4</v>
      </c>
      <c r="H226" s="11">
        <v>30</v>
      </c>
      <c r="I226" s="11">
        <v>120</v>
      </c>
      <c r="J226" t="s">
        <v>22</v>
      </c>
      <c r="K226" t="s">
        <v>1029</v>
      </c>
      <c r="L226" t="s">
        <v>1038</v>
      </c>
      <c r="M226" t="s">
        <v>1041</v>
      </c>
      <c r="N226">
        <v>4</v>
      </c>
      <c r="O226" t="s">
        <v>1042</v>
      </c>
    </row>
    <row r="227" spans="1:15" x14ac:dyDescent="0.25">
      <c r="A227">
        <v>80</v>
      </c>
      <c r="B227" s="6">
        <v>45270</v>
      </c>
      <c r="C227" s="5" t="s">
        <v>247</v>
      </c>
      <c r="D227" s="5" t="s">
        <v>1</v>
      </c>
      <c r="E227">
        <v>64</v>
      </c>
      <c r="F227" s="5" t="s">
        <v>19</v>
      </c>
      <c r="G227">
        <v>2</v>
      </c>
      <c r="H227" s="11">
        <v>30</v>
      </c>
      <c r="I227" s="11">
        <v>60</v>
      </c>
      <c r="J227" t="s">
        <v>24</v>
      </c>
      <c r="K227" t="s">
        <v>1030</v>
      </c>
      <c r="L227" t="s">
        <v>1038</v>
      </c>
      <c r="M227" t="s">
        <v>1047</v>
      </c>
      <c r="N227">
        <v>12</v>
      </c>
      <c r="O227" t="s">
        <v>1052</v>
      </c>
    </row>
    <row r="228" spans="1:15" x14ac:dyDescent="0.25">
      <c r="A228">
        <v>95</v>
      </c>
      <c r="B228" s="6">
        <v>45254</v>
      </c>
      <c r="C228" s="5" t="s">
        <v>248</v>
      </c>
      <c r="D228" s="5" t="s">
        <v>1</v>
      </c>
      <c r="E228">
        <v>32</v>
      </c>
      <c r="F228" s="5" t="s">
        <v>19</v>
      </c>
      <c r="G228">
        <v>2</v>
      </c>
      <c r="H228" s="11">
        <v>30</v>
      </c>
      <c r="I228" s="11">
        <v>60</v>
      </c>
      <c r="J228" t="s">
        <v>20</v>
      </c>
      <c r="K228" t="s">
        <v>1028</v>
      </c>
      <c r="L228" t="s">
        <v>1038</v>
      </c>
      <c r="M228" t="s">
        <v>1047</v>
      </c>
      <c r="N228">
        <v>11</v>
      </c>
      <c r="O228" t="s">
        <v>1048</v>
      </c>
    </row>
    <row r="229" spans="1:15" x14ac:dyDescent="0.25">
      <c r="A229">
        <v>116</v>
      </c>
      <c r="B229" s="6">
        <v>45161</v>
      </c>
      <c r="C229" s="5" t="s">
        <v>249</v>
      </c>
      <c r="D229" s="5" t="s">
        <v>1</v>
      </c>
      <c r="E229">
        <v>23</v>
      </c>
      <c r="F229" s="5" t="s">
        <v>19</v>
      </c>
      <c r="G229">
        <v>1</v>
      </c>
      <c r="H229" s="11">
        <v>30</v>
      </c>
      <c r="I229" s="11">
        <v>30</v>
      </c>
      <c r="J229" t="s">
        <v>22</v>
      </c>
      <c r="K229" t="s">
        <v>1029</v>
      </c>
      <c r="L229" t="s">
        <v>1038</v>
      </c>
      <c r="M229" t="s">
        <v>1033</v>
      </c>
      <c r="N229">
        <v>8</v>
      </c>
      <c r="O229" t="s">
        <v>1051</v>
      </c>
    </row>
    <row r="230" spans="1:15" x14ac:dyDescent="0.25">
      <c r="A230">
        <v>126</v>
      </c>
      <c r="B230" s="6">
        <v>45225</v>
      </c>
      <c r="C230" s="5" t="s">
        <v>250</v>
      </c>
      <c r="D230" s="5" t="s">
        <v>1</v>
      </c>
      <c r="E230">
        <v>28</v>
      </c>
      <c r="F230" s="5" t="s">
        <v>19</v>
      </c>
      <c r="G230">
        <v>3</v>
      </c>
      <c r="H230" s="11">
        <v>30</v>
      </c>
      <c r="I230" s="11">
        <v>90</v>
      </c>
      <c r="J230" t="s">
        <v>22</v>
      </c>
      <c r="K230" t="s">
        <v>1029</v>
      </c>
      <c r="L230" t="s">
        <v>1038</v>
      </c>
      <c r="M230" t="s">
        <v>1047</v>
      </c>
      <c r="N230">
        <v>10</v>
      </c>
      <c r="O230" t="s">
        <v>1049</v>
      </c>
    </row>
    <row r="231" spans="1:15" x14ac:dyDescent="0.25">
      <c r="A231">
        <v>148</v>
      </c>
      <c r="B231" s="6">
        <v>45055</v>
      </c>
      <c r="C231" s="5" t="s">
        <v>251</v>
      </c>
      <c r="D231" s="5" t="s">
        <v>2</v>
      </c>
      <c r="E231">
        <v>18</v>
      </c>
      <c r="F231" s="5" t="s">
        <v>19</v>
      </c>
      <c r="G231">
        <v>2</v>
      </c>
      <c r="H231" s="11">
        <v>30</v>
      </c>
      <c r="I231" s="11">
        <v>60</v>
      </c>
      <c r="J231" t="s">
        <v>22</v>
      </c>
      <c r="K231" t="s">
        <v>1029</v>
      </c>
      <c r="L231" t="s">
        <v>1038</v>
      </c>
      <c r="M231" t="s">
        <v>1041</v>
      </c>
      <c r="N231">
        <v>5</v>
      </c>
      <c r="O231" t="s">
        <v>1032</v>
      </c>
    </row>
    <row r="232" spans="1:15" x14ac:dyDescent="0.25">
      <c r="A232">
        <v>162</v>
      </c>
      <c r="B232" s="6">
        <v>45159</v>
      </c>
      <c r="C232" s="5" t="s">
        <v>252</v>
      </c>
      <c r="D232" s="5" t="s">
        <v>2</v>
      </c>
      <c r="E232">
        <v>39</v>
      </c>
      <c r="F232" s="5" t="s">
        <v>19</v>
      </c>
      <c r="G232">
        <v>2</v>
      </c>
      <c r="H232" s="11">
        <v>30</v>
      </c>
      <c r="I232" s="11">
        <v>60</v>
      </c>
      <c r="J232" t="s">
        <v>20</v>
      </c>
      <c r="K232" t="s">
        <v>1028</v>
      </c>
      <c r="L232" t="s">
        <v>1038</v>
      </c>
      <c r="M232" t="s">
        <v>1033</v>
      </c>
      <c r="N232">
        <v>8</v>
      </c>
      <c r="O232" t="s">
        <v>1051</v>
      </c>
    </row>
    <row r="233" spans="1:15" x14ac:dyDescent="0.25">
      <c r="A233">
        <v>178</v>
      </c>
      <c r="B233" s="6">
        <v>45203</v>
      </c>
      <c r="C233" s="5" t="s">
        <v>253</v>
      </c>
      <c r="D233" s="5" t="s">
        <v>2</v>
      </c>
      <c r="E233">
        <v>40</v>
      </c>
      <c r="F233" s="5" t="s">
        <v>19</v>
      </c>
      <c r="G233">
        <v>2</v>
      </c>
      <c r="H233" s="11">
        <v>30</v>
      </c>
      <c r="I233" s="11">
        <v>60</v>
      </c>
      <c r="J233" t="s">
        <v>20</v>
      </c>
      <c r="K233" t="s">
        <v>1028</v>
      </c>
      <c r="L233" t="s">
        <v>1038</v>
      </c>
      <c r="M233" t="s">
        <v>1047</v>
      </c>
      <c r="N233">
        <v>10</v>
      </c>
      <c r="O233" t="s">
        <v>1049</v>
      </c>
    </row>
    <row r="234" spans="1:15" x14ac:dyDescent="0.25">
      <c r="A234">
        <v>195</v>
      </c>
      <c r="B234" s="6">
        <v>44962</v>
      </c>
      <c r="C234" s="5" t="s">
        <v>254</v>
      </c>
      <c r="D234" s="5" t="s">
        <v>2</v>
      </c>
      <c r="E234">
        <v>52</v>
      </c>
      <c r="F234" s="5" t="s">
        <v>19</v>
      </c>
      <c r="G234">
        <v>1</v>
      </c>
      <c r="H234" s="11">
        <v>30</v>
      </c>
      <c r="I234" s="11">
        <v>30</v>
      </c>
      <c r="J234" t="s">
        <v>20</v>
      </c>
      <c r="K234" t="s">
        <v>1028</v>
      </c>
      <c r="L234" t="s">
        <v>1038</v>
      </c>
      <c r="M234" t="s">
        <v>1039</v>
      </c>
      <c r="N234">
        <v>2</v>
      </c>
      <c r="O234" t="s">
        <v>1044</v>
      </c>
    </row>
    <row r="235" spans="1:15" x14ac:dyDescent="0.25">
      <c r="A235">
        <v>222</v>
      </c>
      <c r="B235" s="6">
        <v>45042</v>
      </c>
      <c r="C235" s="5" t="s">
        <v>255</v>
      </c>
      <c r="D235" s="5" t="s">
        <v>2</v>
      </c>
      <c r="E235">
        <v>51</v>
      </c>
      <c r="F235" s="5" t="s">
        <v>19</v>
      </c>
      <c r="G235">
        <v>4</v>
      </c>
      <c r="H235" s="11">
        <v>30</v>
      </c>
      <c r="I235" s="11">
        <v>120</v>
      </c>
      <c r="J235" t="s">
        <v>20</v>
      </c>
      <c r="K235" t="s">
        <v>1028</v>
      </c>
      <c r="L235" t="s">
        <v>1038</v>
      </c>
      <c r="M235" t="s">
        <v>1041</v>
      </c>
      <c r="N235">
        <v>4</v>
      </c>
      <c r="O235" t="s">
        <v>1042</v>
      </c>
    </row>
    <row r="236" spans="1:15" x14ac:dyDescent="0.25">
      <c r="A236">
        <v>245</v>
      </c>
      <c r="B236" s="6">
        <v>45175</v>
      </c>
      <c r="C236" s="5" t="s">
        <v>256</v>
      </c>
      <c r="D236" s="5" t="s">
        <v>2</v>
      </c>
      <c r="E236">
        <v>47</v>
      </c>
      <c r="F236" s="5" t="s">
        <v>19</v>
      </c>
      <c r="G236">
        <v>3</v>
      </c>
      <c r="H236" s="11">
        <v>30</v>
      </c>
      <c r="I236" s="11">
        <v>90</v>
      </c>
      <c r="J236" t="s">
        <v>20</v>
      </c>
      <c r="K236" t="s">
        <v>1028</v>
      </c>
      <c r="L236" t="s">
        <v>1038</v>
      </c>
      <c r="M236" t="s">
        <v>1033</v>
      </c>
      <c r="N236">
        <v>9</v>
      </c>
      <c r="O236" t="s">
        <v>1043</v>
      </c>
    </row>
    <row r="237" spans="1:15" x14ac:dyDescent="0.25">
      <c r="A237">
        <v>255</v>
      </c>
      <c r="B237" s="6">
        <v>45024</v>
      </c>
      <c r="C237" s="5" t="s">
        <v>257</v>
      </c>
      <c r="D237" s="5" t="s">
        <v>2</v>
      </c>
      <c r="E237">
        <v>48</v>
      </c>
      <c r="F237" s="5" t="s">
        <v>19</v>
      </c>
      <c r="G237">
        <v>1</v>
      </c>
      <c r="H237" s="11">
        <v>30</v>
      </c>
      <c r="I237" s="11">
        <v>30</v>
      </c>
      <c r="J237" t="s">
        <v>20</v>
      </c>
      <c r="K237" t="s">
        <v>1028</v>
      </c>
      <c r="L237" t="s">
        <v>1038</v>
      </c>
      <c r="M237" t="s">
        <v>1041</v>
      </c>
      <c r="N237">
        <v>4</v>
      </c>
      <c r="O237" t="s">
        <v>1042</v>
      </c>
    </row>
    <row r="238" spans="1:15" x14ac:dyDescent="0.25">
      <c r="A238">
        <v>288</v>
      </c>
      <c r="B238" s="6">
        <v>44952</v>
      </c>
      <c r="C238" s="5" t="s">
        <v>258</v>
      </c>
      <c r="D238" s="5" t="s">
        <v>2</v>
      </c>
      <c r="E238">
        <v>28</v>
      </c>
      <c r="F238" s="5" t="s">
        <v>19</v>
      </c>
      <c r="G238">
        <v>4</v>
      </c>
      <c r="H238" s="11">
        <v>30</v>
      </c>
      <c r="I238" s="11">
        <v>120</v>
      </c>
      <c r="J238" t="s">
        <v>22</v>
      </c>
      <c r="K238" t="s">
        <v>1029</v>
      </c>
      <c r="L238" t="s">
        <v>1038</v>
      </c>
      <c r="M238" t="s">
        <v>1039</v>
      </c>
      <c r="N238">
        <v>1</v>
      </c>
      <c r="O238" t="s">
        <v>1045</v>
      </c>
    </row>
    <row r="239" spans="1:15" x14ac:dyDescent="0.25">
      <c r="A239">
        <v>294</v>
      </c>
      <c r="B239" s="6">
        <v>45012</v>
      </c>
      <c r="C239" s="5" t="s">
        <v>259</v>
      </c>
      <c r="D239" s="5" t="s">
        <v>1</v>
      </c>
      <c r="E239">
        <v>23</v>
      </c>
      <c r="F239" s="5" t="s">
        <v>19</v>
      </c>
      <c r="G239">
        <v>3</v>
      </c>
      <c r="H239" s="11">
        <v>30</v>
      </c>
      <c r="I239" s="11">
        <v>90</v>
      </c>
      <c r="J239" t="s">
        <v>22</v>
      </c>
      <c r="K239" t="s">
        <v>1029</v>
      </c>
      <c r="L239" t="s">
        <v>1038</v>
      </c>
      <c r="M239" t="s">
        <v>1039</v>
      </c>
      <c r="N239">
        <v>3</v>
      </c>
      <c r="O239" t="s">
        <v>1040</v>
      </c>
    </row>
    <row r="240" spans="1:15" x14ac:dyDescent="0.25">
      <c r="A240">
        <v>301</v>
      </c>
      <c r="B240" s="6">
        <v>45011</v>
      </c>
      <c r="C240" s="5" t="s">
        <v>260</v>
      </c>
      <c r="D240" s="5" t="s">
        <v>2</v>
      </c>
      <c r="E240">
        <v>30</v>
      </c>
      <c r="F240" s="5" t="s">
        <v>19</v>
      </c>
      <c r="G240">
        <v>4</v>
      </c>
      <c r="H240" s="11">
        <v>30</v>
      </c>
      <c r="I240" s="11">
        <v>120</v>
      </c>
      <c r="J240" t="s">
        <v>20</v>
      </c>
      <c r="K240" t="s">
        <v>1028</v>
      </c>
      <c r="L240" t="s">
        <v>1038</v>
      </c>
      <c r="M240" t="s">
        <v>1039</v>
      </c>
      <c r="N240">
        <v>3</v>
      </c>
      <c r="O240" t="s">
        <v>1040</v>
      </c>
    </row>
    <row r="241" spans="1:15" x14ac:dyDescent="0.25">
      <c r="A241">
        <v>312</v>
      </c>
      <c r="B241" s="6">
        <v>45176</v>
      </c>
      <c r="C241" s="5" t="s">
        <v>261</v>
      </c>
      <c r="D241" s="5" t="s">
        <v>2</v>
      </c>
      <c r="E241">
        <v>41</v>
      </c>
      <c r="F241" s="5" t="s">
        <v>19</v>
      </c>
      <c r="G241">
        <v>4</v>
      </c>
      <c r="H241" s="11">
        <v>30</v>
      </c>
      <c r="I241" s="11">
        <v>120</v>
      </c>
      <c r="J241" t="s">
        <v>20</v>
      </c>
      <c r="K241" t="s">
        <v>1028</v>
      </c>
      <c r="L241" t="s">
        <v>1038</v>
      </c>
      <c r="M241" t="s">
        <v>1033</v>
      </c>
      <c r="N241">
        <v>9</v>
      </c>
      <c r="O241" t="s">
        <v>1043</v>
      </c>
    </row>
    <row r="242" spans="1:15" x14ac:dyDescent="0.25">
      <c r="A242">
        <v>314</v>
      </c>
      <c r="B242" s="6">
        <v>45024</v>
      </c>
      <c r="C242" s="5" t="s">
        <v>262</v>
      </c>
      <c r="D242" s="5" t="s">
        <v>2</v>
      </c>
      <c r="E242">
        <v>52</v>
      </c>
      <c r="F242" s="5" t="s">
        <v>19</v>
      </c>
      <c r="G242">
        <v>4</v>
      </c>
      <c r="H242" s="11">
        <v>30</v>
      </c>
      <c r="I242" s="11">
        <v>120</v>
      </c>
      <c r="J242" t="s">
        <v>20</v>
      </c>
      <c r="K242" t="s">
        <v>1028</v>
      </c>
      <c r="L242" t="s">
        <v>1038</v>
      </c>
      <c r="M242" t="s">
        <v>1041</v>
      </c>
      <c r="N242">
        <v>4</v>
      </c>
      <c r="O242" t="s">
        <v>1042</v>
      </c>
    </row>
    <row r="243" spans="1:15" x14ac:dyDescent="0.25">
      <c r="A243">
        <v>315</v>
      </c>
      <c r="B243" s="6">
        <v>45078</v>
      </c>
      <c r="C243" s="5" t="s">
        <v>263</v>
      </c>
      <c r="D243" s="5" t="s">
        <v>2</v>
      </c>
      <c r="E243">
        <v>47</v>
      </c>
      <c r="F243" s="5" t="s">
        <v>19</v>
      </c>
      <c r="G243">
        <v>2</v>
      </c>
      <c r="H243" s="11">
        <v>30</v>
      </c>
      <c r="I243" s="11">
        <v>60</v>
      </c>
      <c r="J243" t="s">
        <v>20</v>
      </c>
      <c r="K243" t="s">
        <v>1028</v>
      </c>
      <c r="L243" t="s">
        <v>1038</v>
      </c>
      <c r="M243" t="s">
        <v>1041</v>
      </c>
      <c r="N243">
        <v>6</v>
      </c>
      <c r="O243" t="s">
        <v>1050</v>
      </c>
    </row>
    <row r="244" spans="1:15" x14ac:dyDescent="0.25">
      <c r="A244">
        <v>351</v>
      </c>
      <c r="B244" s="6">
        <v>45194</v>
      </c>
      <c r="C244" s="5" t="s">
        <v>264</v>
      </c>
      <c r="D244" s="5" t="s">
        <v>1</v>
      </c>
      <c r="E244">
        <v>56</v>
      </c>
      <c r="F244" s="5" t="s">
        <v>19</v>
      </c>
      <c r="G244">
        <v>3</v>
      </c>
      <c r="H244" s="11">
        <v>30</v>
      </c>
      <c r="I244" s="11">
        <v>90</v>
      </c>
      <c r="J244" t="s">
        <v>24</v>
      </c>
      <c r="K244" t="s">
        <v>1030</v>
      </c>
      <c r="L244" t="s">
        <v>1038</v>
      </c>
      <c r="M244" t="s">
        <v>1033</v>
      </c>
      <c r="N244">
        <v>9</v>
      </c>
      <c r="O244" t="s">
        <v>1043</v>
      </c>
    </row>
    <row r="245" spans="1:15" x14ac:dyDescent="0.25">
      <c r="A245">
        <v>415</v>
      </c>
      <c r="B245" s="6">
        <v>44953</v>
      </c>
      <c r="C245" s="5" t="s">
        <v>265</v>
      </c>
      <c r="D245" s="5" t="s">
        <v>2</v>
      </c>
      <c r="E245">
        <v>53</v>
      </c>
      <c r="F245" s="5" t="s">
        <v>19</v>
      </c>
      <c r="G245">
        <v>2</v>
      </c>
      <c r="H245" s="11">
        <v>30</v>
      </c>
      <c r="I245" s="11">
        <v>60</v>
      </c>
      <c r="J245" t="s">
        <v>20</v>
      </c>
      <c r="K245" t="s">
        <v>1028</v>
      </c>
      <c r="L245" t="s">
        <v>1038</v>
      </c>
      <c r="M245" t="s">
        <v>1039</v>
      </c>
      <c r="N245">
        <v>1</v>
      </c>
      <c r="O245" t="s">
        <v>1045</v>
      </c>
    </row>
    <row r="246" spans="1:15" x14ac:dyDescent="0.25">
      <c r="A246">
        <v>419</v>
      </c>
      <c r="B246" s="6">
        <v>45068</v>
      </c>
      <c r="C246" s="5" t="s">
        <v>266</v>
      </c>
      <c r="D246" s="5" t="s">
        <v>1</v>
      </c>
      <c r="E246">
        <v>44</v>
      </c>
      <c r="F246" s="5" t="s">
        <v>19</v>
      </c>
      <c r="G246">
        <v>3</v>
      </c>
      <c r="H246" s="11">
        <v>30</v>
      </c>
      <c r="I246" s="11">
        <v>90</v>
      </c>
      <c r="J246" t="s">
        <v>20</v>
      </c>
      <c r="K246" t="s">
        <v>1028</v>
      </c>
      <c r="L246" t="s">
        <v>1038</v>
      </c>
      <c r="M246" t="s">
        <v>1041</v>
      </c>
      <c r="N246">
        <v>5</v>
      </c>
      <c r="O246" t="s">
        <v>1032</v>
      </c>
    </row>
    <row r="247" spans="1:15" x14ac:dyDescent="0.25">
      <c r="A247">
        <v>422</v>
      </c>
      <c r="B247" s="6">
        <v>45097</v>
      </c>
      <c r="C247" s="5" t="s">
        <v>267</v>
      </c>
      <c r="D247" s="5" t="s">
        <v>1</v>
      </c>
      <c r="E247">
        <v>28</v>
      </c>
      <c r="F247" s="5" t="s">
        <v>19</v>
      </c>
      <c r="G247">
        <v>3</v>
      </c>
      <c r="H247" s="11">
        <v>30</v>
      </c>
      <c r="I247" s="11">
        <v>90</v>
      </c>
      <c r="J247" t="s">
        <v>22</v>
      </c>
      <c r="K247" t="s">
        <v>1029</v>
      </c>
      <c r="L247" t="s">
        <v>1038</v>
      </c>
      <c r="M247" t="s">
        <v>1041</v>
      </c>
      <c r="N247">
        <v>6</v>
      </c>
      <c r="O247" t="s">
        <v>1050</v>
      </c>
    </row>
    <row r="248" spans="1:15" x14ac:dyDescent="0.25">
      <c r="A248">
        <v>436</v>
      </c>
      <c r="B248" s="6">
        <v>45003</v>
      </c>
      <c r="C248" s="5" t="s">
        <v>268</v>
      </c>
      <c r="D248" s="5" t="s">
        <v>1</v>
      </c>
      <c r="E248">
        <v>57</v>
      </c>
      <c r="F248" s="5" t="s">
        <v>19</v>
      </c>
      <c r="G248">
        <v>4</v>
      </c>
      <c r="H248" s="11">
        <v>30</v>
      </c>
      <c r="I248" s="11">
        <v>120</v>
      </c>
      <c r="J248" t="s">
        <v>24</v>
      </c>
      <c r="K248" t="s">
        <v>1030</v>
      </c>
      <c r="L248" t="s">
        <v>1038</v>
      </c>
      <c r="M248" t="s">
        <v>1039</v>
      </c>
      <c r="N248">
        <v>3</v>
      </c>
      <c r="O248" t="s">
        <v>1040</v>
      </c>
    </row>
    <row r="249" spans="1:15" x14ac:dyDescent="0.25">
      <c r="A249">
        <v>438</v>
      </c>
      <c r="B249" s="6">
        <v>44945</v>
      </c>
      <c r="C249" s="5" t="s">
        <v>269</v>
      </c>
      <c r="D249" s="5" t="s">
        <v>1</v>
      </c>
      <c r="E249">
        <v>42</v>
      </c>
      <c r="F249" s="5" t="s">
        <v>19</v>
      </c>
      <c r="G249">
        <v>1</v>
      </c>
      <c r="H249" s="11">
        <v>30</v>
      </c>
      <c r="I249" s="11">
        <v>30</v>
      </c>
      <c r="J249" t="s">
        <v>20</v>
      </c>
      <c r="K249" t="s">
        <v>1028</v>
      </c>
      <c r="L249" t="s">
        <v>1038</v>
      </c>
      <c r="M249" t="s">
        <v>1039</v>
      </c>
      <c r="N249">
        <v>1</v>
      </c>
      <c r="O249" t="s">
        <v>1045</v>
      </c>
    </row>
    <row r="250" spans="1:15" x14ac:dyDescent="0.25">
      <c r="A250">
        <v>444</v>
      </c>
      <c r="B250" s="6">
        <v>44992</v>
      </c>
      <c r="C250" s="5" t="s">
        <v>270</v>
      </c>
      <c r="D250" s="5" t="s">
        <v>1</v>
      </c>
      <c r="E250">
        <v>61</v>
      </c>
      <c r="F250" s="5" t="s">
        <v>19</v>
      </c>
      <c r="G250">
        <v>3</v>
      </c>
      <c r="H250" s="11">
        <v>30</v>
      </c>
      <c r="I250" s="11">
        <v>90</v>
      </c>
      <c r="J250" t="s">
        <v>24</v>
      </c>
      <c r="K250" t="s">
        <v>1030</v>
      </c>
      <c r="L250" t="s">
        <v>1038</v>
      </c>
      <c r="M250" t="s">
        <v>1039</v>
      </c>
      <c r="N250">
        <v>3</v>
      </c>
      <c r="O250" t="s">
        <v>1040</v>
      </c>
    </row>
    <row r="251" spans="1:15" x14ac:dyDescent="0.25">
      <c r="A251">
        <v>477</v>
      </c>
      <c r="B251" s="6">
        <v>45040</v>
      </c>
      <c r="C251" s="5" t="s">
        <v>271</v>
      </c>
      <c r="D251" s="5" t="s">
        <v>2</v>
      </c>
      <c r="E251">
        <v>43</v>
      </c>
      <c r="F251" s="5" t="s">
        <v>19</v>
      </c>
      <c r="G251">
        <v>4</v>
      </c>
      <c r="H251" s="11">
        <v>30</v>
      </c>
      <c r="I251" s="11">
        <v>120</v>
      </c>
      <c r="J251" t="s">
        <v>20</v>
      </c>
      <c r="K251" t="s">
        <v>1028</v>
      </c>
      <c r="L251" t="s">
        <v>1038</v>
      </c>
      <c r="M251" t="s">
        <v>1041</v>
      </c>
      <c r="N251">
        <v>4</v>
      </c>
      <c r="O251" t="s">
        <v>1042</v>
      </c>
    </row>
    <row r="252" spans="1:15" x14ac:dyDescent="0.25">
      <c r="A252">
        <v>478</v>
      </c>
      <c r="B252" s="6">
        <v>45029</v>
      </c>
      <c r="C252" s="5" t="s">
        <v>272</v>
      </c>
      <c r="D252" s="5" t="s">
        <v>1</v>
      </c>
      <c r="E252">
        <v>58</v>
      </c>
      <c r="F252" s="5" t="s">
        <v>19</v>
      </c>
      <c r="G252">
        <v>2</v>
      </c>
      <c r="H252" s="11">
        <v>30</v>
      </c>
      <c r="I252" s="11">
        <v>60</v>
      </c>
      <c r="J252" t="s">
        <v>24</v>
      </c>
      <c r="K252" t="s">
        <v>1030</v>
      </c>
      <c r="L252" t="s">
        <v>1038</v>
      </c>
      <c r="M252" t="s">
        <v>1041</v>
      </c>
      <c r="N252">
        <v>4</v>
      </c>
      <c r="O252" t="s">
        <v>1042</v>
      </c>
    </row>
    <row r="253" spans="1:15" x14ac:dyDescent="0.25">
      <c r="A253">
        <v>483</v>
      </c>
      <c r="B253" s="6">
        <v>45041</v>
      </c>
      <c r="C253" s="5" t="s">
        <v>273</v>
      </c>
      <c r="D253" s="5" t="s">
        <v>2</v>
      </c>
      <c r="E253">
        <v>55</v>
      </c>
      <c r="F253" s="5" t="s">
        <v>19</v>
      </c>
      <c r="G253">
        <v>1</v>
      </c>
      <c r="H253" s="11">
        <v>30</v>
      </c>
      <c r="I253" s="11">
        <v>30</v>
      </c>
      <c r="J253" t="s">
        <v>20</v>
      </c>
      <c r="K253" t="s">
        <v>1028</v>
      </c>
      <c r="L253" t="s">
        <v>1038</v>
      </c>
      <c r="M253" t="s">
        <v>1041</v>
      </c>
      <c r="N253">
        <v>4</v>
      </c>
      <c r="O253" t="s">
        <v>1042</v>
      </c>
    </row>
    <row r="254" spans="1:15" x14ac:dyDescent="0.25">
      <c r="A254">
        <v>497</v>
      </c>
      <c r="B254" s="6">
        <v>45201</v>
      </c>
      <c r="C254" s="5" t="s">
        <v>274</v>
      </c>
      <c r="D254" s="5" t="s">
        <v>2</v>
      </c>
      <c r="E254">
        <v>41</v>
      </c>
      <c r="F254" s="5" t="s">
        <v>19</v>
      </c>
      <c r="G254">
        <v>4</v>
      </c>
      <c r="H254" s="11">
        <v>30</v>
      </c>
      <c r="I254" s="11">
        <v>120</v>
      </c>
      <c r="J254" t="s">
        <v>20</v>
      </c>
      <c r="K254" t="s">
        <v>1028</v>
      </c>
      <c r="L254" t="s">
        <v>1038</v>
      </c>
      <c r="M254" t="s">
        <v>1047</v>
      </c>
      <c r="N254">
        <v>10</v>
      </c>
      <c r="O254" t="s">
        <v>1049</v>
      </c>
    </row>
    <row r="255" spans="1:15" x14ac:dyDescent="0.25">
      <c r="A255">
        <v>518</v>
      </c>
      <c r="B255" s="6">
        <v>45057</v>
      </c>
      <c r="C255" s="5" t="s">
        <v>275</v>
      </c>
      <c r="D255" s="5" t="s">
        <v>1</v>
      </c>
      <c r="E255">
        <v>40</v>
      </c>
      <c r="F255" s="5" t="s">
        <v>19</v>
      </c>
      <c r="G255">
        <v>1</v>
      </c>
      <c r="H255" s="11">
        <v>30</v>
      </c>
      <c r="I255" s="11">
        <v>30</v>
      </c>
      <c r="J255" t="s">
        <v>20</v>
      </c>
      <c r="K255" t="s">
        <v>1028</v>
      </c>
      <c r="L255" t="s">
        <v>1038</v>
      </c>
      <c r="M255" t="s">
        <v>1041</v>
      </c>
      <c r="N255">
        <v>5</v>
      </c>
      <c r="O255" t="s">
        <v>1032</v>
      </c>
    </row>
    <row r="256" spans="1:15" x14ac:dyDescent="0.25">
      <c r="A256">
        <v>521</v>
      </c>
      <c r="B256" s="6">
        <v>45150</v>
      </c>
      <c r="C256" s="5" t="s">
        <v>276</v>
      </c>
      <c r="D256" s="5" t="s">
        <v>1</v>
      </c>
      <c r="E256">
        <v>47</v>
      </c>
      <c r="F256" s="5" t="s">
        <v>19</v>
      </c>
      <c r="G256">
        <v>4</v>
      </c>
      <c r="H256" s="11">
        <v>30</v>
      </c>
      <c r="I256" s="11">
        <v>120</v>
      </c>
      <c r="J256" t="s">
        <v>20</v>
      </c>
      <c r="K256" t="s">
        <v>1028</v>
      </c>
      <c r="L256" t="s">
        <v>1038</v>
      </c>
      <c r="M256" t="s">
        <v>1033</v>
      </c>
      <c r="N256">
        <v>8</v>
      </c>
      <c r="O256" t="s">
        <v>1051</v>
      </c>
    </row>
    <row r="257" spans="1:15" x14ac:dyDescent="0.25">
      <c r="A257">
        <v>528</v>
      </c>
      <c r="B257" s="6">
        <v>45113</v>
      </c>
      <c r="C257" s="5" t="s">
        <v>277</v>
      </c>
      <c r="D257" s="5" t="s">
        <v>1</v>
      </c>
      <c r="E257">
        <v>36</v>
      </c>
      <c r="F257" s="5" t="s">
        <v>19</v>
      </c>
      <c r="G257">
        <v>2</v>
      </c>
      <c r="H257" s="11">
        <v>30</v>
      </c>
      <c r="I257" s="11">
        <v>60</v>
      </c>
      <c r="J257" t="s">
        <v>20</v>
      </c>
      <c r="K257" t="s">
        <v>1028</v>
      </c>
      <c r="L257" t="s">
        <v>1038</v>
      </c>
      <c r="M257" t="s">
        <v>1033</v>
      </c>
      <c r="N257">
        <v>7</v>
      </c>
      <c r="O257" t="s">
        <v>1046</v>
      </c>
    </row>
    <row r="258" spans="1:15" x14ac:dyDescent="0.25">
      <c r="A258">
        <v>532</v>
      </c>
      <c r="B258" s="6">
        <v>45096</v>
      </c>
      <c r="C258" s="5" t="s">
        <v>278</v>
      </c>
      <c r="D258" s="5" t="s">
        <v>1</v>
      </c>
      <c r="E258">
        <v>64</v>
      </c>
      <c r="F258" s="5" t="s">
        <v>19</v>
      </c>
      <c r="G258">
        <v>4</v>
      </c>
      <c r="H258" s="11">
        <v>30</v>
      </c>
      <c r="I258" s="11">
        <v>120</v>
      </c>
      <c r="J258" t="s">
        <v>24</v>
      </c>
      <c r="K258" t="s">
        <v>1030</v>
      </c>
      <c r="L258" t="s">
        <v>1038</v>
      </c>
      <c r="M258" t="s">
        <v>1041</v>
      </c>
      <c r="N258">
        <v>6</v>
      </c>
      <c r="O258" t="s">
        <v>1050</v>
      </c>
    </row>
    <row r="259" spans="1:15" x14ac:dyDescent="0.25">
      <c r="A259">
        <v>548</v>
      </c>
      <c r="B259" s="6">
        <v>45025</v>
      </c>
      <c r="C259" s="5" t="s">
        <v>279</v>
      </c>
      <c r="D259" s="5" t="s">
        <v>1</v>
      </c>
      <c r="E259">
        <v>51</v>
      </c>
      <c r="F259" s="5" t="s">
        <v>19</v>
      </c>
      <c r="G259">
        <v>2</v>
      </c>
      <c r="H259" s="11">
        <v>30</v>
      </c>
      <c r="I259" s="11">
        <v>60</v>
      </c>
      <c r="J259" t="s">
        <v>20</v>
      </c>
      <c r="K259" t="s">
        <v>1028</v>
      </c>
      <c r="L259" t="s">
        <v>1038</v>
      </c>
      <c r="M259" t="s">
        <v>1041</v>
      </c>
      <c r="N259">
        <v>4</v>
      </c>
      <c r="O259" t="s">
        <v>1042</v>
      </c>
    </row>
    <row r="260" spans="1:15" x14ac:dyDescent="0.25">
      <c r="A260">
        <v>563</v>
      </c>
      <c r="B260" s="6">
        <v>45147</v>
      </c>
      <c r="C260" s="5" t="s">
        <v>280</v>
      </c>
      <c r="D260" s="5" t="s">
        <v>2</v>
      </c>
      <c r="E260">
        <v>20</v>
      </c>
      <c r="F260" s="5" t="s">
        <v>19</v>
      </c>
      <c r="G260">
        <v>2</v>
      </c>
      <c r="H260" s="11">
        <v>30</v>
      </c>
      <c r="I260" s="11">
        <v>60</v>
      </c>
      <c r="J260" t="s">
        <v>22</v>
      </c>
      <c r="K260" t="s">
        <v>1029</v>
      </c>
      <c r="L260" t="s">
        <v>1038</v>
      </c>
      <c r="M260" t="s">
        <v>1033</v>
      </c>
      <c r="N260">
        <v>8</v>
      </c>
      <c r="O260" t="s">
        <v>1051</v>
      </c>
    </row>
    <row r="261" spans="1:15" x14ac:dyDescent="0.25">
      <c r="A261">
        <v>566</v>
      </c>
      <c r="B261" s="6">
        <v>45262</v>
      </c>
      <c r="C261" s="5" t="s">
        <v>281</v>
      </c>
      <c r="D261" s="5" t="s">
        <v>1</v>
      </c>
      <c r="E261">
        <v>64</v>
      </c>
      <c r="F261" s="5" t="s">
        <v>19</v>
      </c>
      <c r="G261">
        <v>1</v>
      </c>
      <c r="H261" s="11">
        <v>30</v>
      </c>
      <c r="I261" s="11">
        <v>30</v>
      </c>
      <c r="J261" t="s">
        <v>24</v>
      </c>
      <c r="K261" t="s">
        <v>1030</v>
      </c>
      <c r="L261" t="s">
        <v>1038</v>
      </c>
      <c r="M261" t="s">
        <v>1047</v>
      </c>
      <c r="N261">
        <v>12</v>
      </c>
      <c r="O261" t="s">
        <v>1052</v>
      </c>
    </row>
    <row r="262" spans="1:15" x14ac:dyDescent="0.25">
      <c r="A262">
        <v>578</v>
      </c>
      <c r="B262" s="6">
        <v>45072</v>
      </c>
      <c r="C262" s="5" t="s">
        <v>282</v>
      </c>
      <c r="D262" s="5" t="s">
        <v>1</v>
      </c>
      <c r="E262">
        <v>54</v>
      </c>
      <c r="F262" s="5" t="s">
        <v>19</v>
      </c>
      <c r="G262">
        <v>4</v>
      </c>
      <c r="H262" s="11">
        <v>30</v>
      </c>
      <c r="I262" s="11">
        <v>120</v>
      </c>
      <c r="J262" t="s">
        <v>20</v>
      </c>
      <c r="K262" t="s">
        <v>1028</v>
      </c>
      <c r="L262" t="s">
        <v>1038</v>
      </c>
      <c r="M262" t="s">
        <v>1041</v>
      </c>
      <c r="N262">
        <v>5</v>
      </c>
      <c r="O262" t="s">
        <v>1032</v>
      </c>
    </row>
    <row r="263" spans="1:15" x14ac:dyDescent="0.25">
      <c r="A263">
        <v>601</v>
      </c>
      <c r="B263" s="6">
        <v>45026</v>
      </c>
      <c r="C263" s="5" t="s">
        <v>283</v>
      </c>
      <c r="D263" s="5" t="s">
        <v>2</v>
      </c>
      <c r="E263">
        <v>19</v>
      </c>
      <c r="F263" s="5" t="s">
        <v>19</v>
      </c>
      <c r="G263">
        <v>1</v>
      </c>
      <c r="H263" s="11">
        <v>30</v>
      </c>
      <c r="I263" s="11">
        <v>30</v>
      </c>
      <c r="J263" t="s">
        <v>22</v>
      </c>
      <c r="K263" t="s">
        <v>1029</v>
      </c>
      <c r="L263" t="s">
        <v>1038</v>
      </c>
      <c r="M263" t="s">
        <v>1041</v>
      </c>
      <c r="N263">
        <v>4</v>
      </c>
      <c r="O263" t="s">
        <v>1042</v>
      </c>
    </row>
    <row r="264" spans="1:15" x14ac:dyDescent="0.25">
      <c r="A264">
        <v>603</v>
      </c>
      <c r="B264" s="6">
        <v>45123</v>
      </c>
      <c r="C264" s="5" t="s">
        <v>284</v>
      </c>
      <c r="D264" s="5" t="s">
        <v>1</v>
      </c>
      <c r="E264">
        <v>40</v>
      </c>
      <c r="F264" s="5" t="s">
        <v>19</v>
      </c>
      <c r="G264">
        <v>3</v>
      </c>
      <c r="H264" s="11">
        <v>30</v>
      </c>
      <c r="I264" s="11">
        <v>90</v>
      </c>
      <c r="J264" t="s">
        <v>20</v>
      </c>
      <c r="K264" t="s">
        <v>1028</v>
      </c>
      <c r="L264" t="s">
        <v>1038</v>
      </c>
      <c r="M264" t="s">
        <v>1033</v>
      </c>
      <c r="N264">
        <v>7</v>
      </c>
      <c r="O264" t="s">
        <v>1046</v>
      </c>
    </row>
    <row r="265" spans="1:15" x14ac:dyDescent="0.25">
      <c r="A265">
        <v>613</v>
      </c>
      <c r="B265" s="6">
        <v>45039</v>
      </c>
      <c r="C265" s="5" t="s">
        <v>285</v>
      </c>
      <c r="D265" s="5" t="s">
        <v>1</v>
      </c>
      <c r="E265">
        <v>52</v>
      </c>
      <c r="F265" s="5" t="s">
        <v>19</v>
      </c>
      <c r="G265">
        <v>3</v>
      </c>
      <c r="H265" s="11">
        <v>30</v>
      </c>
      <c r="I265" s="11">
        <v>90</v>
      </c>
      <c r="J265" t="s">
        <v>20</v>
      </c>
      <c r="K265" t="s">
        <v>1028</v>
      </c>
      <c r="L265" t="s">
        <v>1038</v>
      </c>
      <c r="M265" t="s">
        <v>1041</v>
      </c>
      <c r="N265">
        <v>4</v>
      </c>
      <c r="O265" t="s">
        <v>1042</v>
      </c>
    </row>
    <row r="266" spans="1:15" x14ac:dyDescent="0.25">
      <c r="A266">
        <v>646</v>
      </c>
      <c r="B266" s="6">
        <v>45049</v>
      </c>
      <c r="C266" s="5" t="s">
        <v>286</v>
      </c>
      <c r="D266" s="5" t="s">
        <v>2</v>
      </c>
      <c r="E266">
        <v>38</v>
      </c>
      <c r="F266" s="5" t="s">
        <v>19</v>
      </c>
      <c r="G266">
        <v>3</v>
      </c>
      <c r="H266" s="11">
        <v>30</v>
      </c>
      <c r="I266" s="11">
        <v>90</v>
      </c>
      <c r="J266" t="s">
        <v>20</v>
      </c>
      <c r="K266" t="s">
        <v>1028</v>
      </c>
      <c r="L266" t="s">
        <v>1038</v>
      </c>
      <c r="M266" t="s">
        <v>1041</v>
      </c>
      <c r="N266">
        <v>5</v>
      </c>
      <c r="O266" t="s">
        <v>1032</v>
      </c>
    </row>
    <row r="267" spans="1:15" x14ac:dyDescent="0.25">
      <c r="A267">
        <v>675</v>
      </c>
      <c r="B267" s="6">
        <v>45142</v>
      </c>
      <c r="C267" s="5" t="s">
        <v>287</v>
      </c>
      <c r="D267" s="5" t="s">
        <v>1</v>
      </c>
      <c r="E267">
        <v>45</v>
      </c>
      <c r="F267" s="5" t="s">
        <v>19</v>
      </c>
      <c r="G267">
        <v>2</v>
      </c>
      <c r="H267" s="11">
        <v>30</v>
      </c>
      <c r="I267" s="11">
        <v>60</v>
      </c>
      <c r="J267" t="s">
        <v>20</v>
      </c>
      <c r="K267" t="s">
        <v>1028</v>
      </c>
      <c r="L267" t="s">
        <v>1038</v>
      </c>
      <c r="M267" t="s">
        <v>1033</v>
      </c>
      <c r="N267">
        <v>8</v>
      </c>
      <c r="O267" t="s">
        <v>1051</v>
      </c>
    </row>
    <row r="268" spans="1:15" x14ac:dyDescent="0.25">
      <c r="A268">
        <v>691</v>
      </c>
      <c r="B268" s="6">
        <v>45039</v>
      </c>
      <c r="C268" s="5" t="s">
        <v>288</v>
      </c>
      <c r="D268" s="5" t="s">
        <v>1</v>
      </c>
      <c r="E268">
        <v>51</v>
      </c>
      <c r="F268" s="5" t="s">
        <v>19</v>
      </c>
      <c r="G268">
        <v>3</v>
      </c>
      <c r="H268" s="11">
        <v>30</v>
      </c>
      <c r="I268" s="11">
        <v>90</v>
      </c>
      <c r="J268" t="s">
        <v>20</v>
      </c>
      <c r="K268" t="s">
        <v>1028</v>
      </c>
      <c r="L268" t="s">
        <v>1038</v>
      </c>
      <c r="M268" t="s">
        <v>1041</v>
      </c>
      <c r="N268">
        <v>4</v>
      </c>
      <c r="O268" t="s">
        <v>1042</v>
      </c>
    </row>
    <row r="269" spans="1:15" x14ac:dyDescent="0.25">
      <c r="A269">
        <v>699</v>
      </c>
      <c r="B269" s="6">
        <v>45099</v>
      </c>
      <c r="C269" s="5" t="s">
        <v>289</v>
      </c>
      <c r="D269" s="5" t="s">
        <v>1</v>
      </c>
      <c r="E269">
        <v>37</v>
      </c>
      <c r="F269" s="5" t="s">
        <v>19</v>
      </c>
      <c r="G269">
        <v>4</v>
      </c>
      <c r="H269" s="11">
        <v>30</v>
      </c>
      <c r="I269" s="11">
        <v>120</v>
      </c>
      <c r="J269" t="s">
        <v>20</v>
      </c>
      <c r="K269" t="s">
        <v>1028</v>
      </c>
      <c r="L269" t="s">
        <v>1038</v>
      </c>
      <c r="M269" t="s">
        <v>1041</v>
      </c>
      <c r="N269">
        <v>6</v>
      </c>
      <c r="O269" t="s">
        <v>1050</v>
      </c>
    </row>
    <row r="270" spans="1:15" x14ac:dyDescent="0.25">
      <c r="A270">
        <v>704</v>
      </c>
      <c r="B270" s="6">
        <v>45166</v>
      </c>
      <c r="C270" s="5" t="s">
        <v>290</v>
      </c>
      <c r="D270" s="5" t="s">
        <v>1</v>
      </c>
      <c r="E270">
        <v>62</v>
      </c>
      <c r="F270" s="5" t="s">
        <v>19</v>
      </c>
      <c r="G270">
        <v>3</v>
      </c>
      <c r="H270" s="11">
        <v>30</v>
      </c>
      <c r="I270" s="11">
        <v>90</v>
      </c>
      <c r="J270" t="s">
        <v>24</v>
      </c>
      <c r="K270" t="s">
        <v>1030</v>
      </c>
      <c r="L270" t="s">
        <v>1038</v>
      </c>
      <c r="M270" t="s">
        <v>1033</v>
      </c>
      <c r="N270">
        <v>8</v>
      </c>
      <c r="O270" t="s">
        <v>1051</v>
      </c>
    </row>
    <row r="271" spans="1:15" x14ac:dyDescent="0.25">
      <c r="A271">
        <v>719</v>
      </c>
      <c r="B271" s="6">
        <v>45020</v>
      </c>
      <c r="C271" s="5" t="s">
        <v>291</v>
      </c>
      <c r="D271" s="5" t="s">
        <v>1</v>
      </c>
      <c r="E271">
        <v>42</v>
      </c>
      <c r="F271" s="5" t="s">
        <v>19</v>
      </c>
      <c r="G271">
        <v>2</v>
      </c>
      <c r="H271" s="11">
        <v>30</v>
      </c>
      <c r="I271" s="11">
        <v>60</v>
      </c>
      <c r="J271" t="s">
        <v>20</v>
      </c>
      <c r="K271" t="s">
        <v>1028</v>
      </c>
      <c r="L271" t="s">
        <v>1038</v>
      </c>
      <c r="M271" t="s">
        <v>1041</v>
      </c>
      <c r="N271">
        <v>4</v>
      </c>
      <c r="O271" t="s">
        <v>1042</v>
      </c>
    </row>
    <row r="272" spans="1:15" x14ac:dyDescent="0.25">
      <c r="A272">
        <v>734</v>
      </c>
      <c r="B272" s="6">
        <v>44936</v>
      </c>
      <c r="C272" s="5" t="s">
        <v>292</v>
      </c>
      <c r="D272" s="5" t="s">
        <v>1</v>
      </c>
      <c r="E272">
        <v>27</v>
      </c>
      <c r="F272" s="5" t="s">
        <v>19</v>
      </c>
      <c r="G272">
        <v>1</v>
      </c>
      <c r="H272" s="11">
        <v>30</v>
      </c>
      <c r="I272" s="11">
        <v>30</v>
      </c>
      <c r="J272" t="s">
        <v>22</v>
      </c>
      <c r="K272" t="s">
        <v>1029</v>
      </c>
      <c r="L272" t="s">
        <v>1038</v>
      </c>
      <c r="M272" t="s">
        <v>1039</v>
      </c>
      <c r="N272">
        <v>1</v>
      </c>
      <c r="O272" t="s">
        <v>1045</v>
      </c>
    </row>
    <row r="273" spans="1:15" x14ac:dyDescent="0.25">
      <c r="A273">
        <v>746</v>
      </c>
      <c r="B273" s="6">
        <v>44937</v>
      </c>
      <c r="C273" s="5" t="s">
        <v>293</v>
      </c>
      <c r="D273" s="5" t="s">
        <v>1</v>
      </c>
      <c r="E273">
        <v>33</v>
      </c>
      <c r="F273" s="5" t="s">
        <v>19</v>
      </c>
      <c r="G273">
        <v>3</v>
      </c>
      <c r="H273" s="11">
        <v>30</v>
      </c>
      <c r="I273" s="11">
        <v>90</v>
      </c>
      <c r="J273" t="s">
        <v>20</v>
      </c>
      <c r="K273" t="s">
        <v>1028</v>
      </c>
      <c r="L273" t="s">
        <v>1038</v>
      </c>
      <c r="M273" t="s">
        <v>1039</v>
      </c>
      <c r="N273">
        <v>1</v>
      </c>
      <c r="O273" t="s">
        <v>1045</v>
      </c>
    </row>
    <row r="274" spans="1:15" x14ac:dyDescent="0.25">
      <c r="A274">
        <v>753</v>
      </c>
      <c r="B274" s="6">
        <v>44985</v>
      </c>
      <c r="C274" s="5" t="s">
        <v>294</v>
      </c>
      <c r="D274" s="5" t="s">
        <v>1</v>
      </c>
      <c r="E274">
        <v>32</v>
      </c>
      <c r="F274" s="5" t="s">
        <v>19</v>
      </c>
      <c r="G274">
        <v>1</v>
      </c>
      <c r="H274" s="11">
        <v>30</v>
      </c>
      <c r="I274" s="11">
        <v>30</v>
      </c>
      <c r="J274" t="s">
        <v>20</v>
      </c>
      <c r="K274" t="s">
        <v>1028</v>
      </c>
      <c r="L274" t="s">
        <v>1038</v>
      </c>
      <c r="M274" t="s">
        <v>1039</v>
      </c>
      <c r="N274">
        <v>2</v>
      </c>
      <c r="O274" t="s">
        <v>1044</v>
      </c>
    </row>
    <row r="275" spans="1:15" x14ac:dyDescent="0.25">
      <c r="A275">
        <v>776</v>
      </c>
      <c r="B275" s="6">
        <v>45230</v>
      </c>
      <c r="C275" s="5" t="s">
        <v>295</v>
      </c>
      <c r="D275" s="5" t="s">
        <v>2</v>
      </c>
      <c r="E275">
        <v>35</v>
      </c>
      <c r="F275" s="5" t="s">
        <v>19</v>
      </c>
      <c r="G275">
        <v>3</v>
      </c>
      <c r="H275" s="11">
        <v>30</v>
      </c>
      <c r="I275" s="11">
        <v>90</v>
      </c>
      <c r="J275" t="s">
        <v>20</v>
      </c>
      <c r="K275" t="s">
        <v>1028</v>
      </c>
      <c r="L275" t="s">
        <v>1038</v>
      </c>
      <c r="M275" t="s">
        <v>1047</v>
      </c>
      <c r="N275">
        <v>10</v>
      </c>
      <c r="O275" t="s">
        <v>1049</v>
      </c>
    </row>
    <row r="276" spans="1:15" x14ac:dyDescent="0.25">
      <c r="A276">
        <v>824</v>
      </c>
      <c r="B276" s="6">
        <v>45051</v>
      </c>
      <c r="C276" s="5" t="s">
        <v>296</v>
      </c>
      <c r="D276" s="5" t="s">
        <v>2</v>
      </c>
      <c r="E276">
        <v>63</v>
      </c>
      <c r="F276" s="5" t="s">
        <v>19</v>
      </c>
      <c r="G276">
        <v>4</v>
      </c>
      <c r="H276" s="11">
        <v>30</v>
      </c>
      <c r="I276" s="11">
        <v>120</v>
      </c>
      <c r="J276" t="s">
        <v>24</v>
      </c>
      <c r="K276" t="s">
        <v>1030</v>
      </c>
      <c r="L276" t="s">
        <v>1038</v>
      </c>
      <c r="M276" t="s">
        <v>1041</v>
      </c>
      <c r="N276">
        <v>5</v>
      </c>
      <c r="O276" t="s">
        <v>1032</v>
      </c>
    </row>
    <row r="277" spans="1:15" x14ac:dyDescent="0.25">
      <c r="A277">
        <v>861</v>
      </c>
      <c r="B277" s="6">
        <v>44974</v>
      </c>
      <c r="C277" s="5" t="s">
        <v>297</v>
      </c>
      <c r="D277" s="5" t="s">
        <v>1</v>
      </c>
      <c r="E277">
        <v>41</v>
      </c>
      <c r="F277" s="5" t="s">
        <v>19</v>
      </c>
      <c r="G277">
        <v>3</v>
      </c>
      <c r="H277" s="11">
        <v>30</v>
      </c>
      <c r="I277" s="11">
        <v>90</v>
      </c>
      <c r="J277" t="s">
        <v>20</v>
      </c>
      <c r="K277" t="s">
        <v>1028</v>
      </c>
      <c r="L277" t="s">
        <v>1038</v>
      </c>
      <c r="M277" t="s">
        <v>1039</v>
      </c>
      <c r="N277">
        <v>2</v>
      </c>
      <c r="O277" t="s">
        <v>1044</v>
      </c>
    </row>
    <row r="278" spans="1:15" x14ac:dyDescent="0.25">
      <c r="A278">
        <v>876</v>
      </c>
      <c r="B278" s="6">
        <v>45208</v>
      </c>
      <c r="C278" s="5" t="s">
        <v>298</v>
      </c>
      <c r="D278" s="5" t="s">
        <v>2</v>
      </c>
      <c r="E278">
        <v>43</v>
      </c>
      <c r="F278" s="5" t="s">
        <v>19</v>
      </c>
      <c r="G278">
        <v>4</v>
      </c>
      <c r="H278" s="11">
        <v>30</v>
      </c>
      <c r="I278" s="11">
        <v>120</v>
      </c>
      <c r="J278" t="s">
        <v>20</v>
      </c>
      <c r="K278" t="s">
        <v>1028</v>
      </c>
      <c r="L278" t="s">
        <v>1038</v>
      </c>
      <c r="M278" t="s">
        <v>1047</v>
      </c>
      <c r="N278">
        <v>10</v>
      </c>
      <c r="O278" t="s">
        <v>1049</v>
      </c>
    </row>
    <row r="279" spans="1:15" x14ac:dyDescent="0.25">
      <c r="A279">
        <v>878</v>
      </c>
      <c r="B279" s="6">
        <v>45107</v>
      </c>
      <c r="C279" s="5" t="s">
        <v>299</v>
      </c>
      <c r="D279" s="5" t="s">
        <v>1</v>
      </c>
      <c r="E279">
        <v>20</v>
      </c>
      <c r="F279" s="5" t="s">
        <v>19</v>
      </c>
      <c r="G279">
        <v>1</v>
      </c>
      <c r="H279" s="11">
        <v>30</v>
      </c>
      <c r="I279" s="11">
        <v>30</v>
      </c>
      <c r="J279" t="s">
        <v>22</v>
      </c>
      <c r="K279" t="s">
        <v>1029</v>
      </c>
      <c r="L279" t="s">
        <v>1038</v>
      </c>
      <c r="M279" t="s">
        <v>1041</v>
      </c>
      <c r="N279">
        <v>6</v>
      </c>
      <c r="O279" t="s">
        <v>1050</v>
      </c>
    </row>
    <row r="280" spans="1:15" x14ac:dyDescent="0.25">
      <c r="A280">
        <v>879</v>
      </c>
      <c r="B280" s="6">
        <v>45286</v>
      </c>
      <c r="C280" s="5" t="s">
        <v>300</v>
      </c>
      <c r="D280" s="5" t="s">
        <v>2</v>
      </c>
      <c r="E280">
        <v>23</v>
      </c>
      <c r="F280" s="5" t="s">
        <v>19</v>
      </c>
      <c r="G280">
        <v>1</v>
      </c>
      <c r="H280" s="11">
        <v>30</v>
      </c>
      <c r="I280" s="11">
        <v>30</v>
      </c>
      <c r="J280" t="s">
        <v>22</v>
      </c>
      <c r="K280" t="s">
        <v>1029</v>
      </c>
      <c r="L280" t="s">
        <v>1038</v>
      </c>
      <c r="M280" t="s">
        <v>1047</v>
      </c>
      <c r="N280">
        <v>12</v>
      </c>
      <c r="O280" t="s">
        <v>1052</v>
      </c>
    </row>
    <row r="281" spans="1:15" x14ac:dyDescent="0.25">
      <c r="A281">
        <v>884</v>
      </c>
      <c r="B281" s="6">
        <v>45045</v>
      </c>
      <c r="C281" s="5" t="s">
        <v>301</v>
      </c>
      <c r="D281" s="5" t="s">
        <v>1</v>
      </c>
      <c r="E281">
        <v>26</v>
      </c>
      <c r="F281" s="5" t="s">
        <v>19</v>
      </c>
      <c r="G281">
        <v>2</v>
      </c>
      <c r="H281" s="11">
        <v>30</v>
      </c>
      <c r="I281" s="11">
        <v>60</v>
      </c>
      <c r="J281" t="s">
        <v>22</v>
      </c>
      <c r="K281" t="s">
        <v>1029</v>
      </c>
      <c r="L281" t="s">
        <v>1038</v>
      </c>
      <c r="M281" t="s">
        <v>1041</v>
      </c>
      <c r="N281">
        <v>4</v>
      </c>
      <c r="O281" t="s">
        <v>1042</v>
      </c>
    </row>
    <row r="282" spans="1:15" x14ac:dyDescent="0.25">
      <c r="A282">
        <v>885</v>
      </c>
      <c r="B282" s="6">
        <v>44988</v>
      </c>
      <c r="C282" s="5" t="s">
        <v>302</v>
      </c>
      <c r="D282" s="5" t="s">
        <v>1</v>
      </c>
      <c r="E282">
        <v>52</v>
      </c>
      <c r="F282" s="5" t="s">
        <v>19</v>
      </c>
      <c r="G282">
        <v>4</v>
      </c>
      <c r="H282" s="11">
        <v>30</v>
      </c>
      <c r="I282" s="11">
        <v>120</v>
      </c>
      <c r="J282" t="s">
        <v>20</v>
      </c>
      <c r="K282" t="s">
        <v>1028</v>
      </c>
      <c r="L282" t="s">
        <v>1038</v>
      </c>
      <c r="M282" t="s">
        <v>1039</v>
      </c>
      <c r="N282">
        <v>3</v>
      </c>
      <c r="O282" t="s">
        <v>1040</v>
      </c>
    </row>
    <row r="283" spans="1:15" x14ac:dyDescent="0.25">
      <c r="A283">
        <v>895</v>
      </c>
      <c r="B283" s="6">
        <v>45068</v>
      </c>
      <c r="C283" s="5" t="s">
        <v>303</v>
      </c>
      <c r="D283" s="5" t="s">
        <v>1</v>
      </c>
      <c r="E283">
        <v>55</v>
      </c>
      <c r="F283" s="5" t="s">
        <v>19</v>
      </c>
      <c r="G283">
        <v>4</v>
      </c>
      <c r="H283" s="11">
        <v>30</v>
      </c>
      <c r="I283" s="11">
        <v>120</v>
      </c>
      <c r="J283" t="s">
        <v>20</v>
      </c>
      <c r="K283" t="s">
        <v>1028</v>
      </c>
      <c r="L283" t="s">
        <v>1038</v>
      </c>
      <c r="M283" t="s">
        <v>1041</v>
      </c>
      <c r="N283">
        <v>5</v>
      </c>
      <c r="O283" t="s">
        <v>1032</v>
      </c>
    </row>
    <row r="284" spans="1:15" x14ac:dyDescent="0.25">
      <c r="A284">
        <v>898</v>
      </c>
      <c r="B284" s="6">
        <v>45232</v>
      </c>
      <c r="C284" s="5" t="s">
        <v>304</v>
      </c>
      <c r="D284" s="5" t="s">
        <v>1</v>
      </c>
      <c r="E284">
        <v>42</v>
      </c>
      <c r="F284" s="5" t="s">
        <v>19</v>
      </c>
      <c r="G284">
        <v>3</v>
      </c>
      <c r="H284" s="11">
        <v>30</v>
      </c>
      <c r="I284" s="11">
        <v>90</v>
      </c>
      <c r="J284" t="s">
        <v>20</v>
      </c>
      <c r="K284" t="s">
        <v>1028</v>
      </c>
      <c r="L284" t="s">
        <v>1038</v>
      </c>
      <c r="M284" t="s">
        <v>1047</v>
      </c>
      <c r="N284">
        <v>11</v>
      </c>
      <c r="O284" t="s">
        <v>1048</v>
      </c>
    </row>
    <row r="285" spans="1:15" x14ac:dyDescent="0.25">
      <c r="A285">
        <v>900</v>
      </c>
      <c r="B285" s="6">
        <v>44978</v>
      </c>
      <c r="C285" s="5" t="s">
        <v>305</v>
      </c>
      <c r="D285" s="5" t="s">
        <v>2</v>
      </c>
      <c r="E285">
        <v>21</v>
      </c>
      <c r="F285" s="5" t="s">
        <v>19</v>
      </c>
      <c r="G285">
        <v>2</v>
      </c>
      <c r="H285" s="11">
        <v>30</v>
      </c>
      <c r="I285" s="11">
        <v>60</v>
      </c>
      <c r="J285" t="s">
        <v>22</v>
      </c>
      <c r="K285" t="s">
        <v>1029</v>
      </c>
      <c r="L285" t="s">
        <v>1038</v>
      </c>
      <c r="M285" t="s">
        <v>1039</v>
      </c>
      <c r="N285">
        <v>2</v>
      </c>
      <c r="O285" t="s">
        <v>1044</v>
      </c>
    </row>
    <row r="286" spans="1:15" x14ac:dyDescent="0.25">
      <c r="A286">
        <v>960</v>
      </c>
      <c r="B286" s="6">
        <v>45146</v>
      </c>
      <c r="C286" s="5" t="s">
        <v>306</v>
      </c>
      <c r="D286" s="5" t="s">
        <v>2</v>
      </c>
      <c r="E286">
        <v>59</v>
      </c>
      <c r="F286" s="5" t="s">
        <v>19</v>
      </c>
      <c r="G286">
        <v>2</v>
      </c>
      <c r="H286" s="11">
        <v>30</v>
      </c>
      <c r="I286" s="11">
        <v>60</v>
      </c>
      <c r="J286" t="s">
        <v>24</v>
      </c>
      <c r="K286" t="s">
        <v>1030</v>
      </c>
      <c r="L286" t="s">
        <v>1038</v>
      </c>
      <c r="M286" t="s">
        <v>1033</v>
      </c>
      <c r="N286">
        <v>8</v>
      </c>
      <c r="O286" t="s">
        <v>1051</v>
      </c>
    </row>
    <row r="287" spans="1:15" x14ac:dyDescent="0.25">
      <c r="A287">
        <v>962</v>
      </c>
      <c r="B287" s="6">
        <v>45218</v>
      </c>
      <c r="C287" s="5" t="s">
        <v>307</v>
      </c>
      <c r="D287" s="5" t="s">
        <v>2</v>
      </c>
      <c r="E287">
        <v>44</v>
      </c>
      <c r="F287" s="5" t="s">
        <v>19</v>
      </c>
      <c r="G287">
        <v>2</v>
      </c>
      <c r="H287" s="11">
        <v>30</v>
      </c>
      <c r="I287" s="11">
        <v>60</v>
      </c>
      <c r="J287" t="s">
        <v>20</v>
      </c>
      <c r="K287" t="s">
        <v>1028</v>
      </c>
      <c r="L287" t="s">
        <v>1038</v>
      </c>
      <c r="M287" t="s">
        <v>1047</v>
      </c>
      <c r="N287">
        <v>10</v>
      </c>
      <c r="O287" t="s">
        <v>1049</v>
      </c>
    </row>
    <row r="288" spans="1:15" x14ac:dyDescent="0.25">
      <c r="A288">
        <v>995</v>
      </c>
      <c r="B288" s="6">
        <v>45046</v>
      </c>
      <c r="C288" s="5" t="s">
        <v>308</v>
      </c>
      <c r="D288" s="5" t="s">
        <v>1</v>
      </c>
      <c r="E288">
        <v>41</v>
      </c>
      <c r="F288" s="5" t="s">
        <v>19</v>
      </c>
      <c r="G288">
        <v>1</v>
      </c>
      <c r="H288" s="11">
        <v>30</v>
      </c>
      <c r="I288" s="11">
        <v>30</v>
      </c>
      <c r="J288" t="s">
        <v>20</v>
      </c>
      <c r="K288" t="s">
        <v>1028</v>
      </c>
      <c r="L288" t="s">
        <v>1038</v>
      </c>
      <c r="M288" t="s">
        <v>1041</v>
      </c>
      <c r="N288">
        <v>4</v>
      </c>
      <c r="O288" t="s">
        <v>1042</v>
      </c>
    </row>
    <row r="289" spans="1:15" x14ac:dyDescent="0.25">
      <c r="A289">
        <v>2</v>
      </c>
      <c r="B289" s="6">
        <v>44984</v>
      </c>
      <c r="C289" s="5" t="s">
        <v>309</v>
      </c>
      <c r="D289" s="5" t="s">
        <v>1</v>
      </c>
      <c r="E289">
        <v>26</v>
      </c>
      <c r="F289" s="5" t="s">
        <v>19</v>
      </c>
      <c r="G289">
        <v>2</v>
      </c>
      <c r="H289" s="11">
        <v>500</v>
      </c>
      <c r="I289" s="11">
        <v>1000</v>
      </c>
      <c r="J289" t="s">
        <v>22</v>
      </c>
      <c r="K289" t="s">
        <v>1029</v>
      </c>
      <c r="L289" t="s">
        <v>1038</v>
      </c>
      <c r="M289" t="s">
        <v>1039</v>
      </c>
      <c r="N289">
        <v>2</v>
      </c>
      <c r="O289" t="s">
        <v>1044</v>
      </c>
    </row>
    <row r="290" spans="1:15" x14ac:dyDescent="0.25">
      <c r="A290">
        <v>4</v>
      </c>
      <c r="B290" s="6">
        <v>45067</v>
      </c>
      <c r="C290" s="5" t="s">
        <v>310</v>
      </c>
      <c r="D290" s="5" t="s">
        <v>2</v>
      </c>
      <c r="E290">
        <v>37</v>
      </c>
      <c r="F290" s="5" t="s">
        <v>19</v>
      </c>
      <c r="G290">
        <v>1</v>
      </c>
      <c r="H290" s="11">
        <v>500</v>
      </c>
      <c r="I290" s="11">
        <v>500</v>
      </c>
      <c r="J290" t="s">
        <v>20</v>
      </c>
      <c r="K290" t="s">
        <v>1028</v>
      </c>
      <c r="L290" t="s">
        <v>1038</v>
      </c>
      <c r="M290" t="s">
        <v>1041</v>
      </c>
      <c r="N290">
        <v>5</v>
      </c>
      <c r="O290" t="s">
        <v>1032</v>
      </c>
    </row>
    <row r="291" spans="1:15" x14ac:dyDescent="0.25">
      <c r="A291">
        <v>16</v>
      </c>
      <c r="B291" s="6">
        <v>44974</v>
      </c>
      <c r="C291" s="5" t="s">
        <v>311</v>
      </c>
      <c r="D291" s="5" t="s">
        <v>2</v>
      </c>
      <c r="E291">
        <v>19</v>
      </c>
      <c r="F291" s="5" t="s">
        <v>19</v>
      </c>
      <c r="G291">
        <v>3</v>
      </c>
      <c r="H291" s="11">
        <v>500</v>
      </c>
      <c r="I291" s="11">
        <v>1500</v>
      </c>
      <c r="J291" t="s">
        <v>22</v>
      </c>
      <c r="K291" t="s">
        <v>1029</v>
      </c>
      <c r="L291" t="s">
        <v>1038</v>
      </c>
      <c r="M291" t="s">
        <v>1039</v>
      </c>
      <c r="N291">
        <v>2</v>
      </c>
      <c r="O291" t="s">
        <v>1044</v>
      </c>
    </row>
    <row r="292" spans="1:15" x14ac:dyDescent="0.25">
      <c r="A292">
        <v>78</v>
      </c>
      <c r="B292" s="6">
        <v>45108</v>
      </c>
      <c r="C292" s="5" t="s">
        <v>312</v>
      </c>
      <c r="D292" s="5" t="s">
        <v>1</v>
      </c>
      <c r="E292">
        <v>47</v>
      </c>
      <c r="F292" s="5" t="s">
        <v>19</v>
      </c>
      <c r="G292">
        <v>3</v>
      </c>
      <c r="H292" s="11">
        <v>500</v>
      </c>
      <c r="I292" s="11">
        <v>1500</v>
      </c>
      <c r="J292" t="s">
        <v>20</v>
      </c>
      <c r="K292" t="s">
        <v>1028</v>
      </c>
      <c r="L292" t="s">
        <v>1038</v>
      </c>
      <c r="M292" t="s">
        <v>1033</v>
      </c>
      <c r="N292">
        <v>7</v>
      </c>
      <c r="O292" t="s">
        <v>1046</v>
      </c>
    </row>
    <row r="293" spans="1:15" x14ac:dyDescent="0.25">
      <c r="A293">
        <v>88</v>
      </c>
      <c r="B293" s="6">
        <v>45014</v>
      </c>
      <c r="C293" s="5" t="s">
        <v>313</v>
      </c>
      <c r="D293" s="5" t="s">
        <v>2</v>
      </c>
      <c r="E293">
        <v>56</v>
      </c>
      <c r="F293" s="5" t="s">
        <v>19</v>
      </c>
      <c r="G293">
        <v>1</v>
      </c>
      <c r="H293" s="11">
        <v>500</v>
      </c>
      <c r="I293" s="11">
        <v>500</v>
      </c>
      <c r="J293" t="s">
        <v>24</v>
      </c>
      <c r="K293" t="s">
        <v>1030</v>
      </c>
      <c r="L293" t="s">
        <v>1038</v>
      </c>
      <c r="M293" t="s">
        <v>1039</v>
      </c>
      <c r="N293">
        <v>3</v>
      </c>
      <c r="O293" t="s">
        <v>1040</v>
      </c>
    </row>
    <row r="294" spans="1:15" x14ac:dyDescent="0.25">
      <c r="A294">
        <v>112</v>
      </c>
      <c r="B294" s="6">
        <v>45262</v>
      </c>
      <c r="C294" s="5" t="s">
        <v>314</v>
      </c>
      <c r="D294" s="5" t="s">
        <v>2</v>
      </c>
      <c r="E294">
        <v>37</v>
      </c>
      <c r="F294" s="5" t="s">
        <v>19</v>
      </c>
      <c r="G294">
        <v>3</v>
      </c>
      <c r="H294" s="11">
        <v>500</v>
      </c>
      <c r="I294" s="11">
        <v>1500</v>
      </c>
      <c r="J294" t="s">
        <v>20</v>
      </c>
      <c r="K294" t="s">
        <v>1028</v>
      </c>
      <c r="L294" t="s">
        <v>1038</v>
      </c>
      <c r="M294" t="s">
        <v>1047</v>
      </c>
      <c r="N294">
        <v>12</v>
      </c>
      <c r="O294" t="s">
        <v>1052</v>
      </c>
    </row>
    <row r="295" spans="1:15" x14ac:dyDescent="0.25">
      <c r="A295">
        <v>115</v>
      </c>
      <c r="B295" s="6">
        <v>45256</v>
      </c>
      <c r="C295" s="5" t="s">
        <v>315</v>
      </c>
      <c r="D295" s="5" t="s">
        <v>2</v>
      </c>
      <c r="E295">
        <v>51</v>
      </c>
      <c r="F295" s="5" t="s">
        <v>19</v>
      </c>
      <c r="G295">
        <v>3</v>
      </c>
      <c r="H295" s="11">
        <v>500</v>
      </c>
      <c r="I295" s="11">
        <v>1500</v>
      </c>
      <c r="J295" t="s">
        <v>20</v>
      </c>
      <c r="K295" t="s">
        <v>1028</v>
      </c>
      <c r="L295" t="s">
        <v>1038</v>
      </c>
      <c r="M295" t="s">
        <v>1047</v>
      </c>
      <c r="N295">
        <v>11</v>
      </c>
      <c r="O295" t="s">
        <v>1048</v>
      </c>
    </row>
    <row r="296" spans="1:15" x14ac:dyDescent="0.25">
      <c r="A296">
        <v>124</v>
      </c>
      <c r="B296" s="6">
        <v>45226</v>
      </c>
      <c r="C296" s="5" t="s">
        <v>316</v>
      </c>
      <c r="D296" s="5" t="s">
        <v>2</v>
      </c>
      <c r="E296">
        <v>33</v>
      </c>
      <c r="F296" s="5" t="s">
        <v>19</v>
      </c>
      <c r="G296">
        <v>4</v>
      </c>
      <c r="H296" s="11">
        <v>500</v>
      </c>
      <c r="I296" s="11">
        <v>2000</v>
      </c>
      <c r="J296" t="s">
        <v>20</v>
      </c>
      <c r="K296" t="s">
        <v>1028</v>
      </c>
      <c r="L296" t="s">
        <v>1038</v>
      </c>
      <c r="M296" t="s">
        <v>1047</v>
      </c>
      <c r="N296">
        <v>10</v>
      </c>
      <c r="O296" t="s">
        <v>1049</v>
      </c>
    </row>
    <row r="297" spans="1:15" x14ac:dyDescent="0.25">
      <c r="A297">
        <v>130</v>
      </c>
      <c r="B297" s="6">
        <v>44997</v>
      </c>
      <c r="C297" s="5" t="s">
        <v>317</v>
      </c>
      <c r="D297" s="5" t="s">
        <v>1</v>
      </c>
      <c r="E297">
        <v>57</v>
      </c>
      <c r="F297" s="5" t="s">
        <v>19</v>
      </c>
      <c r="G297">
        <v>1</v>
      </c>
      <c r="H297" s="11">
        <v>500</v>
      </c>
      <c r="I297" s="11">
        <v>500</v>
      </c>
      <c r="J297" t="s">
        <v>24</v>
      </c>
      <c r="K297" t="s">
        <v>1030</v>
      </c>
      <c r="L297" t="s">
        <v>1038</v>
      </c>
      <c r="M297" t="s">
        <v>1039</v>
      </c>
      <c r="N297">
        <v>3</v>
      </c>
      <c r="O297" t="s">
        <v>1040</v>
      </c>
    </row>
    <row r="298" spans="1:15" x14ac:dyDescent="0.25">
      <c r="A298">
        <v>166</v>
      </c>
      <c r="B298" s="6">
        <v>45018</v>
      </c>
      <c r="C298" s="5" t="s">
        <v>318</v>
      </c>
      <c r="D298" s="5" t="s">
        <v>2</v>
      </c>
      <c r="E298">
        <v>34</v>
      </c>
      <c r="F298" s="5" t="s">
        <v>19</v>
      </c>
      <c r="G298">
        <v>4</v>
      </c>
      <c r="H298" s="11">
        <v>500</v>
      </c>
      <c r="I298" s="11">
        <v>2000</v>
      </c>
      <c r="J298" t="s">
        <v>20</v>
      </c>
      <c r="K298" t="s">
        <v>1028</v>
      </c>
      <c r="L298" t="s">
        <v>1038</v>
      </c>
      <c r="M298" t="s">
        <v>1041</v>
      </c>
      <c r="N298">
        <v>4</v>
      </c>
      <c r="O298" t="s">
        <v>1042</v>
      </c>
    </row>
    <row r="299" spans="1:15" x14ac:dyDescent="0.25">
      <c r="A299">
        <v>203</v>
      </c>
      <c r="B299" s="6">
        <v>45062</v>
      </c>
      <c r="C299" s="5" t="s">
        <v>319</v>
      </c>
      <c r="D299" s="5" t="s">
        <v>2</v>
      </c>
      <c r="E299">
        <v>56</v>
      </c>
      <c r="F299" s="5" t="s">
        <v>19</v>
      </c>
      <c r="G299">
        <v>2</v>
      </c>
      <c r="H299" s="11">
        <v>500</v>
      </c>
      <c r="I299" s="11">
        <v>1000</v>
      </c>
      <c r="J299" t="s">
        <v>24</v>
      </c>
      <c r="K299" t="s">
        <v>1030</v>
      </c>
      <c r="L299" t="s">
        <v>1038</v>
      </c>
      <c r="M299" t="s">
        <v>1041</v>
      </c>
      <c r="N299">
        <v>5</v>
      </c>
      <c r="O299" t="s">
        <v>1032</v>
      </c>
    </row>
    <row r="300" spans="1:15" x14ac:dyDescent="0.25">
      <c r="A300">
        <v>212</v>
      </c>
      <c r="B300" s="6">
        <v>45086</v>
      </c>
      <c r="C300" s="5" t="s">
        <v>320</v>
      </c>
      <c r="D300" s="5" t="s">
        <v>2</v>
      </c>
      <c r="E300">
        <v>21</v>
      </c>
      <c r="F300" s="5" t="s">
        <v>19</v>
      </c>
      <c r="G300">
        <v>3</v>
      </c>
      <c r="H300" s="11">
        <v>500</v>
      </c>
      <c r="I300" s="11">
        <v>1500</v>
      </c>
      <c r="J300" t="s">
        <v>22</v>
      </c>
      <c r="K300" t="s">
        <v>1029</v>
      </c>
      <c r="L300" t="s">
        <v>1038</v>
      </c>
      <c r="M300" t="s">
        <v>1041</v>
      </c>
      <c r="N300">
        <v>6</v>
      </c>
      <c r="O300" t="s">
        <v>1050</v>
      </c>
    </row>
    <row r="301" spans="1:15" x14ac:dyDescent="0.25">
      <c r="A301">
        <v>215</v>
      </c>
      <c r="B301" s="6">
        <v>45259</v>
      </c>
      <c r="C301" s="5" t="s">
        <v>321</v>
      </c>
      <c r="D301" s="5" t="s">
        <v>2</v>
      </c>
      <c r="E301">
        <v>58</v>
      </c>
      <c r="F301" s="5" t="s">
        <v>19</v>
      </c>
      <c r="G301">
        <v>3</v>
      </c>
      <c r="H301" s="11">
        <v>500</v>
      </c>
      <c r="I301" s="11">
        <v>1500</v>
      </c>
      <c r="J301" t="s">
        <v>24</v>
      </c>
      <c r="K301" t="s">
        <v>1030</v>
      </c>
      <c r="L301" t="s">
        <v>1038</v>
      </c>
      <c r="M301" t="s">
        <v>1047</v>
      </c>
      <c r="N301">
        <v>11</v>
      </c>
      <c r="O301" t="s">
        <v>1048</v>
      </c>
    </row>
    <row r="302" spans="1:15" x14ac:dyDescent="0.25">
      <c r="A302">
        <v>253</v>
      </c>
      <c r="B302" s="6">
        <v>45169</v>
      </c>
      <c r="C302" s="5" t="s">
        <v>322</v>
      </c>
      <c r="D302" s="5" t="s">
        <v>1</v>
      </c>
      <c r="E302">
        <v>53</v>
      </c>
      <c r="F302" s="5" t="s">
        <v>19</v>
      </c>
      <c r="G302">
        <v>4</v>
      </c>
      <c r="H302" s="11">
        <v>500</v>
      </c>
      <c r="I302" s="11">
        <v>2000</v>
      </c>
      <c r="J302" t="s">
        <v>20</v>
      </c>
      <c r="K302" t="s">
        <v>1028</v>
      </c>
      <c r="L302" t="s">
        <v>1038</v>
      </c>
      <c r="M302" t="s">
        <v>1033</v>
      </c>
      <c r="N302">
        <v>8</v>
      </c>
      <c r="O302" t="s">
        <v>1051</v>
      </c>
    </row>
    <row r="303" spans="1:15" x14ac:dyDescent="0.25">
      <c r="A303">
        <v>256</v>
      </c>
      <c r="B303" s="6">
        <v>44975</v>
      </c>
      <c r="C303" s="5" t="s">
        <v>323</v>
      </c>
      <c r="D303" s="5" t="s">
        <v>2</v>
      </c>
      <c r="E303">
        <v>23</v>
      </c>
      <c r="F303" s="5" t="s">
        <v>19</v>
      </c>
      <c r="G303">
        <v>2</v>
      </c>
      <c r="H303" s="11">
        <v>500</v>
      </c>
      <c r="I303" s="11">
        <v>1000</v>
      </c>
      <c r="J303" t="s">
        <v>22</v>
      </c>
      <c r="K303" t="s">
        <v>1029</v>
      </c>
      <c r="L303" t="s">
        <v>1038</v>
      </c>
      <c r="M303" t="s">
        <v>1039</v>
      </c>
      <c r="N303">
        <v>2</v>
      </c>
      <c r="O303" t="s">
        <v>1044</v>
      </c>
    </row>
    <row r="304" spans="1:15" x14ac:dyDescent="0.25">
      <c r="A304">
        <v>269</v>
      </c>
      <c r="B304" s="6">
        <v>44958</v>
      </c>
      <c r="C304" s="5" t="s">
        <v>324</v>
      </c>
      <c r="D304" s="5" t="s">
        <v>2</v>
      </c>
      <c r="E304">
        <v>25</v>
      </c>
      <c r="F304" s="5" t="s">
        <v>19</v>
      </c>
      <c r="G304">
        <v>4</v>
      </c>
      <c r="H304" s="11">
        <v>500</v>
      </c>
      <c r="I304" s="11">
        <v>2000</v>
      </c>
      <c r="J304" t="s">
        <v>22</v>
      </c>
      <c r="K304" t="s">
        <v>1029</v>
      </c>
      <c r="L304" t="s">
        <v>1038</v>
      </c>
      <c r="M304" t="s">
        <v>1039</v>
      </c>
      <c r="N304">
        <v>2</v>
      </c>
      <c r="O304" t="s">
        <v>1044</v>
      </c>
    </row>
    <row r="305" spans="1:15" x14ac:dyDescent="0.25">
      <c r="A305">
        <v>274</v>
      </c>
      <c r="B305" s="6">
        <v>45025</v>
      </c>
      <c r="C305" s="5" t="s">
        <v>325</v>
      </c>
      <c r="D305" s="5" t="s">
        <v>1</v>
      </c>
      <c r="E305">
        <v>23</v>
      </c>
      <c r="F305" s="5" t="s">
        <v>19</v>
      </c>
      <c r="G305">
        <v>2</v>
      </c>
      <c r="H305" s="11">
        <v>500</v>
      </c>
      <c r="I305" s="11">
        <v>1000</v>
      </c>
      <c r="J305" t="s">
        <v>22</v>
      </c>
      <c r="K305" t="s">
        <v>1029</v>
      </c>
      <c r="L305" t="s">
        <v>1038</v>
      </c>
      <c r="M305" t="s">
        <v>1041</v>
      </c>
      <c r="N305">
        <v>4</v>
      </c>
      <c r="O305" t="s">
        <v>1042</v>
      </c>
    </row>
    <row r="306" spans="1:15" x14ac:dyDescent="0.25">
      <c r="A306">
        <v>275</v>
      </c>
      <c r="B306" s="6">
        <v>45024</v>
      </c>
      <c r="C306" s="5" t="s">
        <v>326</v>
      </c>
      <c r="D306" s="5" t="s">
        <v>2</v>
      </c>
      <c r="E306">
        <v>43</v>
      </c>
      <c r="F306" s="5" t="s">
        <v>19</v>
      </c>
      <c r="G306">
        <v>2</v>
      </c>
      <c r="H306" s="11">
        <v>500</v>
      </c>
      <c r="I306" s="11">
        <v>1000</v>
      </c>
      <c r="J306" t="s">
        <v>20</v>
      </c>
      <c r="K306" t="s">
        <v>1028</v>
      </c>
      <c r="L306" t="s">
        <v>1038</v>
      </c>
      <c r="M306" t="s">
        <v>1041</v>
      </c>
      <c r="N306">
        <v>4</v>
      </c>
      <c r="O306" t="s">
        <v>1042</v>
      </c>
    </row>
    <row r="307" spans="1:15" x14ac:dyDescent="0.25">
      <c r="A307">
        <v>279</v>
      </c>
      <c r="B307" s="6">
        <v>45143</v>
      </c>
      <c r="C307" s="5" t="s">
        <v>327</v>
      </c>
      <c r="D307" s="5" t="s">
        <v>2</v>
      </c>
      <c r="E307">
        <v>50</v>
      </c>
      <c r="F307" s="5" t="s">
        <v>19</v>
      </c>
      <c r="G307">
        <v>1</v>
      </c>
      <c r="H307" s="11">
        <v>500</v>
      </c>
      <c r="I307" s="11">
        <v>500</v>
      </c>
      <c r="J307" t="s">
        <v>20</v>
      </c>
      <c r="K307" t="s">
        <v>1028</v>
      </c>
      <c r="L307" t="s">
        <v>1038</v>
      </c>
      <c r="M307" t="s">
        <v>1033</v>
      </c>
      <c r="N307">
        <v>8</v>
      </c>
      <c r="O307" t="s">
        <v>1051</v>
      </c>
    </row>
    <row r="308" spans="1:15" x14ac:dyDescent="0.25">
      <c r="A308">
        <v>280</v>
      </c>
      <c r="B308" s="6">
        <v>45020</v>
      </c>
      <c r="C308" s="5" t="s">
        <v>328</v>
      </c>
      <c r="D308" s="5" t="s">
        <v>1</v>
      </c>
      <c r="E308">
        <v>37</v>
      </c>
      <c r="F308" s="5" t="s">
        <v>19</v>
      </c>
      <c r="G308">
        <v>3</v>
      </c>
      <c r="H308" s="11">
        <v>500</v>
      </c>
      <c r="I308" s="11">
        <v>1500</v>
      </c>
      <c r="J308" t="s">
        <v>20</v>
      </c>
      <c r="K308" t="s">
        <v>1028</v>
      </c>
      <c r="L308" t="s">
        <v>1038</v>
      </c>
      <c r="M308" t="s">
        <v>1041</v>
      </c>
      <c r="N308">
        <v>4</v>
      </c>
      <c r="O308" t="s">
        <v>1042</v>
      </c>
    </row>
    <row r="309" spans="1:15" x14ac:dyDescent="0.25">
      <c r="A309">
        <v>319</v>
      </c>
      <c r="B309" s="6">
        <v>45204</v>
      </c>
      <c r="C309" s="5" t="s">
        <v>329</v>
      </c>
      <c r="D309" s="5" t="s">
        <v>2</v>
      </c>
      <c r="E309">
        <v>31</v>
      </c>
      <c r="F309" s="5" t="s">
        <v>19</v>
      </c>
      <c r="G309">
        <v>1</v>
      </c>
      <c r="H309" s="11">
        <v>500</v>
      </c>
      <c r="I309" s="11">
        <v>500</v>
      </c>
      <c r="J309" t="s">
        <v>20</v>
      </c>
      <c r="K309" t="s">
        <v>1028</v>
      </c>
      <c r="L309" t="s">
        <v>1038</v>
      </c>
      <c r="M309" t="s">
        <v>1047</v>
      </c>
      <c r="N309">
        <v>10</v>
      </c>
      <c r="O309" t="s">
        <v>1049</v>
      </c>
    </row>
    <row r="310" spans="1:15" x14ac:dyDescent="0.25">
      <c r="A310">
        <v>337</v>
      </c>
      <c r="B310" s="6">
        <v>45047</v>
      </c>
      <c r="C310" s="5" t="s">
        <v>330</v>
      </c>
      <c r="D310" s="5" t="s">
        <v>2</v>
      </c>
      <c r="E310">
        <v>38</v>
      </c>
      <c r="F310" s="5" t="s">
        <v>19</v>
      </c>
      <c r="G310">
        <v>1</v>
      </c>
      <c r="H310" s="11">
        <v>500</v>
      </c>
      <c r="I310" s="11">
        <v>500</v>
      </c>
      <c r="J310" t="s">
        <v>20</v>
      </c>
      <c r="K310" t="s">
        <v>1028</v>
      </c>
      <c r="L310" t="s">
        <v>1038</v>
      </c>
      <c r="M310" t="s">
        <v>1041</v>
      </c>
      <c r="N310">
        <v>5</v>
      </c>
      <c r="O310" t="s">
        <v>1032</v>
      </c>
    </row>
    <row r="311" spans="1:15" x14ac:dyDescent="0.25">
      <c r="A311">
        <v>342</v>
      </c>
      <c r="B311" s="6">
        <v>45223</v>
      </c>
      <c r="C311" s="5" t="s">
        <v>331</v>
      </c>
      <c r="D311" s="5" t="s">
        <v>1</v>
      </c>
      <c r="E311">
        <v>43</v>
      </c>
      <c r="F311" s="5" t="s">
        <v>19</v>
      </c>
      <c r="G311">
        <v>4</v>
      </c>
      <c r="H311" s="11">
        <v>500</v>
      </c>
      <c r="I311" s="11">
        <v>2000</v>
      </c>
      <c r="J311" t="s">
        <v>20</v>
      </c>
      <c r="K311" t="s">
        <v>1028</v>
      </c>
      <c r="L311" t="s">
        <v>1038</v>
      </c>
      <c r="M311" t="s">
        <v>1047</v>
      </c>
      <c r="N311">
        <v>10</v>
      </c>
      <c r="O311" t="s">
        <v>1049</v>
      </c>
    </row>
    <row r="312" spans="1:15" x14ac:dyDescent="0.25">
      <c r="A312">
        <v>346</v>
      </c>
      <c r="B312" s="6">
        <v>44968</v>
      </c>
      <c r="C312" s="5" t="s">
        <v>332</v>
      </c>
      <c r="D312" s="5" t="s">
        <v>2</v>
      </c>
      <c r="E312">
        <v>59</v>
      </c>
      <c r="F312" s="5" t="s">
        <v>19</v>
      </c>
      <c r="G312">
        <v>2</v>
      </c>
      <c r="H312" s="11">
        <v>500</v>
      </c>
      <c r="I312" s="11">
        <v>1000</v>
      </c>
      <c r="J312" t="s">
        <v>24</v>
      </c>
      <c r="K312" t="s">
        <v>1030</v>
      </c>
      <c r="L312" t="s">
        <v>1038</v>
      </c>
      <c r="M312" t="s">
        <v>1039</v>
      </c>
      <c r="N312">
        <v>2</v>
      </c>
      <c r="O312" t="s">
        <v>1044</v>
      </c>
    </row>
    <row r="313" spans="1:15" x14ac:dyDescent="0.25">
      <c r="A313">
        <v>382</v>
      </c>
      <c r="B313" s="6">
        <v>45072</v>
      </c>
      <c r="C313" s="5" t="s">
        <v>333</v>
      </c>
      <c r="D313" s="5" t="s">
        <v>1</v>
      </c>
      <c r="E313">
        <v>53</v>
      </c>
      <c r="F313" s="5" t="s">
        <v>19</v>
      </c>
      <c r="G313">
        <v>2</v>
      </c>
      <c r="H313" s="11">
        <v>500</v>
      </c>
      <c r="I313" s="11">
        <v>1000</v>
      </c>
      <c r="J313" t="s">
        <v>20</v>
      </c>
      <c r="K313" t="s">
        <v>1028</v>
      </c>
      <c r="L313" t="s">
        <v>1038</v>
      </c>
      <c r="M313" t="s">
        <v>1041</v>
      </c>
      <c r="N313">
        <v>5</v>
      </c>
      <c r="O313" t="s">
        <v>1032</v>
      </c>
    </row>
    <row r="314" spans="1:15" x14ac:dyDescent="0.25">
      <c r="A314">
        <v>384</v>
      </c>
      <c r="B314" s="6">
        <v>45151</v>
      </c>
      <c r="C314" s="5" t="s">
        <v>334</v>
      </c>
      <c r="D314" s="5" t="s">
        <v>2</v>
      </c>
      <c r="E314">
        <v>55</v>
      </c>
      <c r="F314" s="5" t="s">
        <v>19</v>
      </c>
      <c r="G314">
        <v>1</v>
      </c>
      <c r="H314" s="11">
        <v>500</v>
      </c>
      <c r="I314" s="11">
        <v>500</v>
      </c>
      <c r="J314" t="s">
        <v>20</v>
      </c>
      <c r="K314" t="s">
        <v>1028</v>
      </c>
      <c r="L314" t="s">
        <v>1038</v>
      </c>
      <c r="M314" t="s">
        <v>1033</v>
      </c>
      <c r="N314">
        <v>8</v>
      </c>
      <c r="O314" t="s">
        <v>1051</v>
      </c>
    </row>
    <row r="315" spans="1:15" x14ac:dyDescent="0.25">
      <c r="A315">
        <v>394</v>
      </c>
      <c r="B315" s="6">
        <v>45080</v>
      </c>
      <c r="C315" s="5" t="s">
        <v>335</v>
      </c>
      <c r="D315" s="5" t="s">
        <v>1</v>
      </c>
      <c r="E315">
        <v>27</v>
      </c>
      <c r="F315" s="5" t="s">
        <v>19</v>
      </c>
      <c r="G315">
        <v>1</v>
      </c>
      <c r="H315" s="11">
        <v>500</v>
      </c>
      <c r="I315" s="11">
        <v>500</v>
      </c>
      <c r="J315" t="s">
        <v>22</v>
      </c>
      <c r="K315" t="s">
        <v>1029</v>
      </c>
      <c r="L315" t="s">
        <v>1038</v>
      </c>
      <c r="M315" t="s">
        <v>1041</v>
      </c>
      <c r="N315">
        <v>6</v>
      </c>
      <c r="O315" t="s">
        <v>1050</v>
      </c>
    </row>
    <row r="316" spans="1:15" x14ac:dyDescent="0.25">
      <c r="A316">
        <v>420</v>
      </c>
      <c r="B316" s="6">
        <v>44949</v>
      </c>
      <c r="C316" s="5" t="s">
        <v>336</v>
      </c>
      <c r="D316" s="5" t="s">
        <v>1</v>
      </c>
      <c r="E316">
        <v>22</v>
      </c>
      <c r="F316" s="5" t="s">
        <v>19</v>
      </c>
      <c r="G316">
        <v>4</v>
      </c>
      <c r="H316" s="11">
        <v>500</v>
      </c>
      <c r="I316" s="11">
        <v>2000</v>
      </c>
      <c r="J316" t="s">
        <v>22</v>
      </c>
      <c r="K316" t="s">
        <v>1029</v>
      </c>
      <c r="L316" t="s">
        <v>1038</v>
      </c>
      <c r="M316" t="s">
        <v>1039</v>
      </c>
      <c r="N316">
        <v>1</v>
      </c>
      <c r="O316" t="s">
        <v>1045</v>
      </c>
    </row>
    <row r="317" spans="1:15" x14ac:dyDescent="0.25">
      <c r="A317">
        <v>421</v>
      </c>
      <c r="B317" s="6">
        <v>44928</v>
      </c>
      <c r="C317" s="5" t="s">
        <v>337</v>
      </c>
      <c r="D317" s="5" t="s">
        <v>1</v>
      </c>
      <c r="E317">
        <v>37</v>
      </c>
      <c r="F317" s="5" t="s">
        <v>19</v>
      </c>
      <c r="G317">
        <v>3</v>
      </c>
      <c r="H317" s="11">
        <v>500</v>
      </c>
      <c r="I317" s="11">
        <v>1500</v>
      </c>
      <c r="J317" t="s">
        <v>20</v>
      </c>
      <c r="K317" t="s">
        <v>1028</v>
      </c>
      <c r="L317" t="s">
        <v>1038</v>
      </c>
      <c r="M317" t="s">
        <v>1039</v>
      </c>
      <c r="N317">
        <v>1</v>
      </c>
      <c r="O317" t="s">
        <v>1045</v>
      </c>
    </row>
    <row r="318" spans="1:15" x14ac:dyDescent="0.25">
      <c r="A318">
        <v>452</v>
      </c>
      <c r="B318" s="6">
        <v>45054</v>
      </c>
      <c r="C318" s="5" t="s">
        <v>338</v>
      </c>
      <c r="D318" s="5" t="s">
        <v>1</v>
      </c>
      <c r="E318">
        <v>48</v>
      </c>
      <c r="F318" s="5" t="s">
        <v>19</v>
      </c>
      <c r="G318">
        <v>3</v>
      </c>
      <c r="H318" s="11">
        <v>500</v>
      </c>
      <c r="I318" s="11">
        <v>1500</v>
      </c>
      <c r="J318" t="s">
        <v>20</v>
      </c>
      <c r="K318" t="s">
        <v>1028</v>
      </c>
      <c r="L318" t="s">
        <v>1038</v>
      </c>
      <c r="M318" t="s">
        <v>1041</v>
      </c>
      <c r="N318">
        <v>5</v>
      </c>
      <c r="O318" t="s">
        <v>1032</v>
      </c>
    </row>
    <row r="319" spans="1:15" x14ac:dyDescent="0.25">
      <c r="A319">
        <v>453</v>
      </c>
      <c r="B319" s="6">
        <v>45268</v>
      </c>
      <c r="C319" s="5" t="s">
        <v>339</v>
      </c>
      <c r="D319" s="5" t="s">
        <v>1</v>
      </c>
      <c r="E319">
        <v>26</v>
      </c>
      <c r="F319" s="5" t="s">
        <v>19</v>
      </c>
      <c r="G319">
        <v>2</v>
      </c>
      <c r="H319" s="11">
        <v>500</v>
      </c>
      <c r="I319" s="11">
        <v>1000</v>
      </c>
      <c r="J319" t="s">
        <v>22</v>
      </c>
      <c r="K319" t="s">
        <v>1029</v>
      </c>
      <c r="L319" t="s">
        <v>1038</v>
      </c>
      <c r="M319" t="s">
        <v>1047</v>
      </c>
      <c r="N319">
        <v>12</v>
      </c>
      <c r="O319" t="s">
        <v>1052</v>
      </c>
    </row>
    <row r="320" spans="1:15" x14ac:dyDescent="0.25">
      <c r="A320">
        <v>470</v>
      </c>
      <c r="B320" s="6">
        <v>45063</v>
      </c>
      <c r="C320" s="5" t="s">
        <v>340</v>
      </c>
      <c r="D320" s="5" t="s">
        <v>1</v>
      </c>
      <c r="E320">
        <v>57</v>
      </c>
      <c r="F320" s="5" t="s">
        <v>19</v>
      </c>
      <c r="G320">
        <v>2</v>
      </c>
      <c r="H320" s="11">
        <v>500</v>
      </c>
      <c r="I320" s="11">
        <v>1000</v>
      </c>
      <c r="J320" t="s">
        <v>24</v>
      </c>
      <c r="K320" t="s">
        <v>1030</v>
      </c>
      <c r="L320" t="s">
        <v>1038</v>
      </c>
      <c r="M320" t="s">
        <v>1041</v>
      </c>
      <c r="N320">
        <v>5</v>
      </c>
      <c r="O320" t="s">
        <v>1032</v>
      </c>
    </row>
    <row r="321" spans="1:15" x14ac:dyDescent="0.25">
      <c r="A321">
        <v>474</v>
      </c>
      <c r="B321" s="6">
        <v>45122</v>
      </c>
      <c r="C321" s="5" t="s">
        <v>341</v>
      </c>
      <c r="D321" s="5" t="s">
        <v>1</v>
      </c>
      <c r="E321">
        <v>26</v>
      </c>
      <c r="F321" s="5" t="s">
        <v>19</v>
      </c>
      <c r="G321">
        <v>3</v>
      </c>
      <c r="H321" s="11">
        <v>500</v>
      </c>
      <c r="I321" s="11">
        <v>1500</v>
      </c>
      <c r="J321" t="s">
        <v>22</v>
      </c>
      <c r="K321" t="s">
        <v>1029</v>
      </c>
      <c r="L321" t="s">
        <v>1038</v>
      </c>
      <c r="M321" t="s">
        <v>1033</v>
      </c>
      <c r="N321">
        <v>7</v>
      </c>
      <c r="O321" t="s">
        <v>1046</v>
      </c>
    </row>
    <row r="322" spans="1:15" x14ac:dyDescent="0.25">
      <c r="A322">
        <v>476</v>
      </c>
      <c r="B322" s="6">
        <v>45167</v>
      </c>
      <c r="C322" s="5" t="s">
        <v>342</v>
      </c>
      <c r="D322" s="5" t="s">
        <v>1</v>
      </c>
      <c r="E322">
        <v>27</v>
      </c>
      <c r="F322" s="5" t="s">
        <v>19</v>
      </c>
      <c r="G322">
        <v>4</v>
      </c>
      <c r="H322" s="11">
        <v>500</v>
      </c>
      <c r="I322" s="11">
        <v>2000</v>
      </c>
      <c r="J322" t="s">
        <v>22</v>
      </c>
      <c r="K322" t="s">
        <v>1029</v>
      </c>
      <c r="L322" t="s">
        <v>1038</v>
      </c>
      <c r="M322" t="s">
        <v>1033</v>
      </c>
      <c r="N322">
        <v>8</v>
      </c>
      <c r="O322" t="s">
        <v>1051</v>
      </c>
    </row>
    <row r="323" spans="1:15" x14ac:dyDescent="0.25">
      <c r="A323">
        <v>487</v>
      </c>
      <c r="B323" s="6">
        <v>45131</v>
      </c>
      <c r="C323" s="5" t="s">
        <v>343</v>
      </c>
      <c r="D323" s="5" t="s">
        <v>2</v>
      </c>
      <c r="E323">
        <v>44</v>
      </c>
      <c r="F323" s="5" t="s">
        <v>19</v>
      </c>
      <c r="G323">
        <v>4</v>
      </c>
      <c r="H323" s="11">
        <v>500</v>
      </c>
      <c r="I323" s="11">
        <v>2000</v>
      </c>
      <c r="J323" t="s">
        <v>20</v>
      </c>
      <c r="K323" t="s">
        <v>1028</v>
      </c>
      <c r="L323" t="s">
        <v>1038</v>
      </c>
      <c r="M323" t="s">
        <v>1033</v>
      </c>
      <c r="N323">
        <v>7</v>
      </c>
      <c r="O323" t="s">
        <v>1046</v>
      </c>
    </row>
    <row r="324" spans="1:15" x14ac:dyDescent="0.25">
      <c r="A324">
        <v>534</v>
      </c>
      <c r="B324" s="6">
        <v>45087</v>
      </c>
      <c r="C324" s="5" t="s">
        <v>344</v>
      </c>
      <c r="D324" s="5" t="s">
        <v>2</v>
      </c>
      <c r="E324">
        <v>45</v>
      </c>
      <c r="F324" s="5" t="s">
        <v>19</v>
      </c>
      <c r="G324">
        <v>2</v>
      </c>
      <c r="H324" s="11">
        <v>500</v>
      </c>
      <c r="I324" s="11">
        <v>1000</v>
      </c>
      <c r="J324" t="s">
        <v>20</v>
      </c>
      <c r="K324" t="s">
        <v>1028</v>
      </c>
      <c r="L324" t="s">
        <v>1038</v>
      </c>
      <c r="M324" t="s">
        <v>1041</v>
      </c>
      <c r="N324">
        <v>6</v>
      </c>
      <c r="O324" t="s">
        <v>1050</v>
      </c>
    </row>
    <row r="325" spans="1:15" x14ac:dyDescent="0.25">
      <c r="A325">
        <v>547</v>
      </c>
      <c r="B325" s="6">
        <v>44992</v>
      </c>
      <c r="C325" s="5" t="s">
        <v>345</v>
      </c>
      <c r="D325" s="5" t="s">
        <v>2</v>
      </c>
      <c r="E325">
        <v>63</v>
      </c>
      <c r="F325" s="5" t="s">
        <v>19</v>
      </c>
      <c r="G325">
        <v>4</v>
      </c>
      <c r="H325" s="11">
        <v>500</v>
      </c>
      <c r="I325" s="11">
        <v>2000</v>
      </c>
      <c r="J325" t="s">
        <v>24</v>
      </c>
      <c r="K325" t="s">
        <v>1030</v>
      </c>
      <c r="L325" t="s">
        <v>1038</v>
      </c>
      <c r="M325" t="s">
        <v>1039</v>
      </c>
      <c r="N325">
        <v>3</v>
      </c>
      <c r="O325" t="s">
        <v>1040</v>
      </c>
    </row>
    <row r="326" spans="1:15" x14ac:dyDescent="0.25">
      <c r="A326">
        <v>561</v>
      </c>
      <c r="B326" s="6">
        <v>45073</v>
      </c>
      <c r="C326" s="5" t="s">
        <v>346</v>
      </c>
      <c r="D326" s="5" t="s">
        <v>1</v>
      </c>
      <c r="E326">
        <v>64</v>
      </c>
      <c r="F326" s="5" t="s">
        <v>19</v>
      </c>
      <c r="G326">
        <v>4</v>
      </c>
      <c r="H326" s="11">
        <v>500</v>
      </c>
      <c r="I326" s="11">
        <v>2000</v>
      </c>
      <c r="J326" t="s">
        <v>24</v>
      </c>
      <c r="K326" t="s">
        <v>1030</v>
      </c>
      <c r="L326" t="s">
        <v>1038</v>
      </c>
      <c r="M326" t="s">
        <v>1041</v>
      </c>
      <c r="N326">
        <v>5</v>
      </c>
      <c r="O326" t="s">
        <v>1032</v>
      </c>
    </row>
    <row r="327" spans="1:15" x14ac:dyDescent="0.25">
      <c r="A327">
        <v>570</v>
      </c>
      <c r="B327" s="6">
        <v>45153</v>
      </c>
      <c r="C327" s="5" t="s">
        <v>347</v>
      </c>
      <c r="D327" s="5" t="s">
        <v>2</v>
      </c>
      <c r="E327">
        <v>49</v>
      </c>
      <c r="F327" s="5" t="s">
        <v>19</v>
      </c>
      <c r="G327">
        <v>1</v>
      </c>
      <c r="H327" s="11">
        <v>500</v>
      </c>
      <c r="I327" s="11">
        <v>500</v>
      </c>
      <c r="J327" t="s">
        <v>20</v>
      </c>
      <c r="K327" t="s">
        <v>1028</v>
      </c>
      <c r="L327" t="s">
        <v>1038</v>
      </c>
      <c r="M327" t="s">
        <v>1033</v>
      </c>
      <c r="N327">
        <v>8</v>
      </c>
      <c r="O327" t="s">
        <v>1051</v>
      </c>
    </row>
    <row r="328" spans="1:15" x14ac:dyDescent="0.25">
      <c r="A328">
        <v>572</v>
      </c>
      <c r="B328" s="6">
        <v>45036</v>
      </c>
      <c r="C328" s="5" t="s">
        <v>348</v>
      </c>
      <c r="D328" s="5" t="s">
        <v>2</v>
      </c>
      <c r="E328">
        <v>31</v>
      </c>
      <c r="F328" s="5" t="s">
        <v>19</v>
      </c>
      <c r="G328">
        <v>4</v>
      </c>
      <c r="H328" s="11">
        <v>500</v>
      </c>
      <c r="I328" s="11">
        <v>2000</v>
      </c>
      <c r="J328" t="s">
        <v>20</v>
      </c>
      <c r="K328" t="s">
        <v>1028</v>
      </c>
      <c r="L328" t="s">
        <v>1038</v>
      </c>
      <c r="M328" t="s">
        <v>1041</v>
      </c>
      <c r="N328">
        <v>4</v>
      </c>
      <c r="O328" t="s">
        <v>1042</v>
      </c>
    </row>
    <row r="329" spans="1:15" x14ac:dyDescent="0.25">
      <c r="A329">
        <v>580</v>
      </c>
      <c r="B329" s="6">
        <v>45266</v>
      </c>
      <c r="C329" s="5" t="s">
        <v>349</v>
      </c>
      <c r="D329" s="5" t="s">
        <v>1</v>
      </c>
      <c r="E329">
        <v>31</v>
      </c>
      <c r="F329" s="5" t="s">
        <v>19</v>
      </c>
      <c r="G329">
        <v>3</v>
      </c>
      <c r="H329" s="11">
        <v>500</v>
      </c>
      <c r="I329" s="11">
        <v>1500</v>
      </c>
      <c r="J329" t="s">
        <v>20</v>
      </c>
      <c r="K329" t="s">
        <v>1028</v>
      </c>
      <c r="L329" t="s">
        <v>1038</v>
      </c>
      <c r="M329" t="s">
        <v>1047</v>
      </c>
      <c r="N329">
        <v>12</v>
      </c>
      <c r="O329" t="s">
        <v>1052</v>
      </c>
    </row>
    <row r="330" spans="1:15" x14ac:dyDescent="0.25">
      <c r="A330">
        <v>595</v>
      </c>
      <c r="B330" s="6">
        <v>45239</v>
      </c>
      <c r="C330" s="5" t="s">
        <v>350</v>
      </c>
      <c r="D330" s="5" t="s">
        <v>1</v>
      </c>
      <c r="E330">
        <v>18</v>
      </c>
      <c r="F330" s="5" t="s">
        <v>19</v>
      </c>
      <c r="G330">
        <v>4</v>
      </c>
      <c r="H330" s="11">
        <v>500</v>
      </c>
      <c r="I330" s="11">
        <v>2000</v>
      </c>
      <c r="J330" t="s">
        <v>22</v>
      </c>
      <c r="K330" t="s">
        <v>1029</v>
      </c>
      <c r="L330" t="s">
        <v>1038</v>
      </c>
      <c r="M330" t="s">
        <v>1047</v>
      </c>
      <c r="N330">
        <v>11</v>
      </c>
      <c r="O330" t="s">
        <v>1048</v>
      </c>
    </row>
    <row r="331" spans="1:15" x14ac:dyDescent="0.25">
      <c r="A331">
        <v>626</v>
      </c>
      <c r="B331" s="6">
        <v>45198</v>
      </c>
      <c r="C331" s="5" t="s">
        <v>351</v>
      </c>
      <c r="D331" s="5" t="s">
        <v>1</v>
      </c>
      <c r="E331">
        <v>26</v>
      </c>
      <c r="F331" s="5" t="s">
        <v>19</v>
      </c>
      <c r="G331">
        <v>4</v>
      </c>
      <c r="H331" s="11">
        <v>500</v>
      </c>
      <c r="I331" s="11">
        <v>2000</v>
      </c>
      <c r="J331" t="s">
        <v>22</v>
      </c>
      <c r="K331" t="s">
        <v>1029</v>
      </c>
      <c r="L331" t="s">
        <v>1038</v>
      </c>
      <c r="M331" t="s">
        <v>1033</v>
      </c>
      <c r="N331">
        <v>9</v>
      </c>
      <c r="O331" t="s">
        <v>1043</v>
      </c>
    </row>
    <row r="332" spans="1:15" x14ac:dyDescent="0.25">
      <c r="A332">
        <v>647</v>
      </c>
      <c r="B332" s="6">
        <v>45067</v>
      </c>
      <c r="C332" s="5" t="s">
        <v>352</v>
      </c>
      <c r="D332" s="5" t="s">
        <v>2</v>
      </c>
      <c r="E332">
        <v>59</v>
      </c>
      <c r="F332" s="5" t="s">
        <v>19</v>
      </c>
      <c r="G332">
        <v>3</v>
      </c>
      <c r="H332" s="11">
        <v>500</v>
      </c>
      <c r="I332" s="11">
        <v>1500</v>
      </c>
      <c r="J332" t="s">
        <v>24</v>
      </c>
      <c r="K332" t="s">
        <v>1030</v>
      </c>
      <c r="L332" t="s">
        <v>1038</v>
      </c>
      <c r="M332" t="s">
        <v>1041</v>
      </c>
      <c r="N332">
        <v>5</v>
      </c>
      <c r="O332" t="s">
        <v>1032</v>
      </c>
    </row>
    <row r="333" spans="1:15" x14ac:dyDescent="0.25">
      <c r="A333">
        <v>655</v>
      </c>
      <c r="B333" s="6">
        <v>45090</v>
      </c>
      <c r="C333" s="5" t="s">
        <v>353</v>
      </c>
      <c r="D333" s="5" t="s">
        <v>1</v>
      </c>
      <c r="E333">
        <v>55</v>
      </c>
      <c r="F333" s="5" t="s">
        <v>19</v>
      </c>
      <c r="G333">
        <v>1</v>
      </c>
      <c r="H333" s="11">
        <v>500</v>
      </c>
      <c r="I333" s="11">
        <v>500</v>
      </c>
      <c r="J333" t="s">
        <v>20</v>
      </c>
      <c r="K333" t="s">
        <v>1028</v>
      </c>
      <c r="L333" t="s">
        <v>1038</v>
      </c>
      <c r="M333" t="s">
        <v>1041</v>
      </c>
      <c r="N333">
        <v>6</v>
      </c>
      <c r="O333" t="s">
        <v>1050</v>
      </c>
    </row>
    <row r="334" spans="1:15" x14ac:dyDescent="0.25">
      <c r="A334">
        <v>664</v>
      </c>
      <c r="B334" s="6">
        <v>45288</v>
      </c>
      <c r="C334" s="5" t="s">
        <v>354</v>
      </c>
      <c r="D334" s="5" t="s">
        <v>1</v>
      </c>
      <c r="E334">
        <v>44</v>
      </c>
      <c r="F334" s="5" t="s">
        <v>19</v>
      </c>
      <c r="G334">
        <v>4</v>
      </c>
      <c r="H334" s="11">
        <v>500</v>
      </c>
      <c r="I334" s="11">
        <v>2000</v>
      </c>
      <c r="J334" t="s">
        <v>20</v>
      </c>
      <c r="K334" t="s">
        <v>1028</v>
      </c>
      <c r="L334" t="s">
        <v>1038</v>
      </c>
      <c r="M334" t="s">
        <v>1047</v>
      </c>
      <c r="N334">
        <v>12</v>
      </c>
      <c r="O334" t="s">
        <v>1052</v>
      </c>
    </row>
    <row r="335" spans="1:15" x14ac:dyDescent="0.25">
      <c r="A335">
        <v>673</v>
      </c>
      <c r="B335" s="6">
        <v>44958</v>
      </c>
      <c r="C335" s="5" t="s">
        <v>355</v>
      </c>
      <c r="D335" s="5" t="s">
        <v>1</v>
      </c>
      <c r="E335">
        <v>43</v>
      </c>
      <c r="F335" s="5" t="s">
        <v>19</v>
      </c>
      <c r="G335">
        <v>3</v>
      </c>
      <c r="H335" s="11">
        <v>500</v>
      </c>
      <c r="I335" s="11">
        <v>1500</v>
      </c>
      <c r="J335" t="s">
        <v>20</v>
      </c>
      <c r="K335" t="s">
        <v>1028</v>
      </c>
      <c r="L335" t="s">
        <v>1038</v>
      </c>
      <c r="M335" t="s">
        <v>1039</v>
      </c>
      <c r="N335">
        <v>2</v>
      </c>
      <c r="O335" t="s">
        <v>1044</v>
      </c>
    </row>
    <row r="336" spans="1:15" x14ac:dyDescent="0.25">
      <c r="A336">
        <v>684</v>
      </c>
      <c r="B336" s="6">
        <v>45107</v>
      </c>
      <c r="C336" s="5" t="s">
        <v>356</v>
      </c>
      <c r="D336" s="5" t="s">
        <v>1</v>
      </c>
      <c r="E336">
        <v>28</v>
      </c>
      <c r="F336" s="5" t="s">
        <v>19</v>
      </c>
      <c r="G336">
        <v>2</v>
      </c>
      <c r="H336" s="11">
        <v>500</v>
      </c>
      <c r="I336" s="11">
        <v>1000</v>
      </c>
      <c r="J336" t="s">
        <v>22</v>
      </c>
      <c r="K336" t="s">
        <v>1029</v>
      </c>
      <c r="L336" t="s">
        <v>1038</v>
      </c>
      <c r="M336" t="s">
        <v>1041</v>
      </c>
      <c r="N336">
        <v>6</v>
      </c>
      <c r="O336" t="s">
        <v>1050</v>
      </c>
    </row>
    <row r="337" spans="1:15" x14ac:dyDescent="0.25">
      <c r="A337">
        <v>697</v>
      </c>
      <c r="B337" s="6">
        <v>44941</v>
      </c>
      <c r="C337" s="5" t="s">
        <v>357</v>
      </c>
      <c r="D337" s="5" t="s">
        <v>2</v>
      </c>
      <c r="E337">
        <v>53</v>
      </c>
      <c r="F337" s="5" t="s">
        <v>19</v>
      </c>
      <c r="G337">
        <v>1</v>
      </c>
      <c r="H337" s="11">
        <v>500</v>
      </c>
      <c r="I337" s="11">
        <v>500</v>
      </c>
      <c r="J337" t="s">
        <v>20</v>
      </c>
      <c r="K337" t="s">
        <v>1028</v>
      </c>
      <c r="L337" t="s">
        <v>1038</v>
      </c>
      <c r="M337" t="s">
        <v>1039</v>
      </c>
      <c r="N337">
        <v>1</v>
      </c>
      <c r="O337" t="s">
        <v>1045</v>
      </c>
    </row>
    <row r="338" spans="1:15" x14ac:dyDescent="0.25">
      <c r="A338">
        <v>707</v>
      </c>
      <c r="B338" s="6">
        <v>45200</v>
      </c>
      <c r="C338" s="5" t="s">
        <v>358</v>
      </c>
      <c r="D338" s="5" t="s">
        <v>1</v>
      </c>
      <c r="E338">
        <v>26</v>
      </c>
      <c r="F338" s="5" t="s">
        <v>19</v>
      </c>
      <c r="G338">
        <v>1</v>
      </c>
      <c r="H338" s="11">
        <v>500</v>
      </c>
      <c r="I338" s="11">
        <v>500</v>
      </c>
      <c r="J338" t="s">
        <v>22</v>
      </c>
      <c r="K338" t="s">
        <v>1029</v>
      </c>
      <c r="L338" t="s">
        <v>1038</v>
      </c>
      <c r="M338" t="s">
        <v>1047</v>
      </c>
      <c r="N338">
        <v>10</v>
      </c>
      <c r="O338" t="s">
        <v>1049</v>
      </c>
    </row>
    <row r="339" spans="1:15" x14ac:dyDescent="0.25">
      <c r="A339">
        <v>714</v>
      </c>
      <c r="B339" s="6">
        <v>44969</v>
      </c>
      <c r="C339" s="5" t="s">
        <v>359</v>
      </c>
      <c r="D339" s="5" t="s">
        <v>1</v>
      </c>
      <c r="E339">
        <v>18</v>
      </c>
      <c r="F339" s="5" t="s">
        <v>19</v>
      </c>
      <c r="G339">
        <v>1</v>
      </c>
      <c r="H339" s="11">
        <v>500</v>
      </c>
      <c r="I339" s="11">
        <v>500</v>
      </c>
      <c r="J339" t="s">
        <v>22</v>
      </c>
      <c r="K339" t="s">
        <v>1029</v>
      </c>
      <c r="L339" t="s">
        <v>1038</v>
      </c>
      <c r="M339" t="s">
        <v>1039</v>
      </c>
      <c r="N339">
        <v>2</v>
      </c>
      <c r="O339" t="s">
        <v>1044</v>
      </c>
    </row>
    <row r="340" spans="1:15" x14ac:dyDescent="0.25">
      <c r="A340">
        <v>717</v>
      </c>
      <c r="B340" s="6">
        <v>44996</v>
      </c>
      <c r="C340" s="5" t="s">
        <v>360</v>
      </c>
      <c r="D340" s="5" t="s">
        <v>2</v>
      </c>
      <c r="E340">
        <v>57</v>
      </c>
      <c r="F340" s="5" t="s">
        <v>19</v>
      </c>
      <c r="G340">
        <v>1</v>
      </c>
      <c r="H340" s="11">
        <v>500</v>
      </c>
      <c r="I340" s="11">
        <v>500</v>
      </c>
      <c r="J340" t="s">
        <v>24</v>
      </c>
      <c r="K340" t="s">
        <v>1030</v>
      </c>
      <c r="L340" t="s">
        <v>1038</v>
      </c>
      <c r="M340" t="s">
        <v>1039</v>
      </c>
      <c r="N340">
        <v>3</v>
      </c>
      <c r="O340" t="s">
        <v>1040</v>
      </c>
    </row>
    <row r="341" spans="1:15" x14ac:dyDescent="0.25">
      <c r="A341">
        <v>721</v>
      </c>
      <c r="B341" s="6">
        <v>45060</v>
      </c>
      <c r="C341" s="5" t="s">
        <v>361</v>
      </c>
      <c r="D341" s="5" t="s">
        <v>1</v>
      </c>
      <c r="E341">
        <v>52</v>
      </c>
      <c r="F341" s="5" t="s">
        <v>19</v>
      </c>
      <c r="G341">
        <v>1</v>
      </c>
      <c r="H341" s="11">
        <v>500</v>
      </c>
      <c r="I341" s="11">
        <v>500</v>
      </c>
      <c r="J341" t="s">
        <v>20</v>
      </c>
      <c r="K341" t="s">
        <v>1028</v>
      </c>
      <c r="L341" t="s">
        <v>1038</v>
      </c>
      <c r="M341" t="s">
        <v>1041</v>
      </c>
      <c r="N341">
        <v>5</v>
      </c>
      <c r="O341" t="s">
        <v>1032</v>
      </c>
    </row>
    <row r="342" spans="1:15" x14ac:dyDescent="0.25">
      <c r="A342">
        <v>731</v>
      </c>
      <c r="B342" s="6">
        <v>45056</v>
      </c>
      <c r="C342" s="5" t="s">
        <v>362</v>
      </c>
      <c r="D342" s="5" t="s">
        <v>2</v>
      </c>
      <c r="E342">
        <v>54</v>
      </c>
      <c r="F342" s="5" t="s">
        <v>19</v>
      </c>
      <c r="G342">
        <v>4</v>
      </c>
      <c r="H342" s="11">
        <v>500</v>
      </c>
      <c r="I342" s="11">
        <v>2000</v>
      </c>
      <c r="J342" t="s">
        <v>20</v>
      </c>
      <c r="K342" t="s">
        <v>1028</v>
      </c>
      <c r="L342" t="s">
        <v>1038</v>
      </c>
      <c r="M342" t="s">
        <v>1041</v>
      </c>
      <c r="N342">
        <v>5</v>
      </c>
      <c r="O342" t="s">
        <v>1032</v>
      </c>
    </row>
    <row r="343" spans="1:15" x14ac:dyDescent="0.25">
      <c r="A343">
        <v>735</v>
      </c>
      <c r="B343" s="6">
        <v>45203</v>
      </c>
      <c r="C343" s="5" t="s">
        <v>363</v>
      </c>
      <c r="D343" s="5" t="s">
        <v>1</v>
      </c>
      <c r="E343">
        <v>64</v>
      </c>
      <c r="F343" s="5" t="s">
        <v>19</v>
      </c>
      <c r="G343">
        <v>4</v>
      </c>
      <c r="H343" s="11">
        <v>500</v>
      </c>
      <c r="I343" s="11">
        <v>2000</v>
      </c>
      <c r="J343" t="s">
        <v>24</v>
      </c>
      <c r="K343" t="s">
        <v>1030</v>
      </c>
      <c r="L343" t="s">
        <v>1038</v>
      </c>
      <c r="M343" t="s">
        <v>1047</v>
      </c>
      <c r="N343">
        <v>10</v>
      </c>
      <c r="O343" t="s">
        <v>1049</v>
      </c>
    </row>
    <row r="344" spans="1:15" x14ac:dyDescent="0.25">
      <c r="A344">
        <v>761</v>
      </c>
      <c r="B344" s="6">
        <v>45237</v>
      </c>
      <c r="C344" s="5" t="s">
        <v>364</v>
      </c>
      <c r="D344" s="5" t="s">
        <v>1</v>
      </c>
      <c r="E344">
        <v>33</v>
      </c>
      <c r="F344" s="5" t="s">
        <v>19</v>
      </c>
      <c r="G344">
        <v>1</v>
      </c>
      <c r="H344" s="11">
        <v>500</v>
      </c>
      <c r="I344" s="11">
        <v>500</v>
      </c>
      <c r="J344" t="s">
        <v>20</v>
      </c>
      <c r="K344" t="s">
        <v>1028</v>
      </c>
      <c r="L344" t="s">
        <v>1038</v>
      </c>
      <c r="M344" t="s">
        <v>1047</v>
      </c>
      <c r="N344">
        <v>11</v>
      </c>
      <c r="O344" t="s">
        <v>1048</v>
      </c>
    </row>
    <row r="345" spans="1:15" x14ac:dyDescent="0.25">
      <c r="A345">
        <v>789</v>
      </c>
      <c r="B345" s="6">
        <v>45199</v>
      </c>
      <c r="C345" s="5" t="s">
        <v>365</v>
      </c>
      <c r="D345" s="5" t="s">
        <v>1</v>
      </c>
      <c r="E345">
        <v>61</v>
      </c>
      <c r="F345" s="5" t="s">
        <v>19</v>
      </c>
      <c r="G345">
        <v>4</v>
      </c>
      <c r="H345" s="11">
        <v>500</v>
      </c>
      <c r="I345" s="11">
        <v>2000</v>
      </c>
      <c r="J345" t="s">
        <v>24</v>
      </c>
      <c r="K345" t="s">
        <v>1030</v>
      </c>
      <c r="L345" t="s">
        <v>1038</v>
      </c>
      <c r="M345" t="s">
        <v>1033</v>
      </c>
      <c r="N345">
        <v>9</v>
      </c>
      <c r="O345" t="s">
        <v>1043</v>
      </c>
    </row>
    <row r="346" spans="1:15" x14ac:dyDescent="0.25">
      <c r="A346">
        <v>814</v>
      </c>
      <c r="B346" s="6">
        <v>45174</v>
      </c>
      <c r="C346" s="5" t="s">
        <v>366</v>
      </c>
      <c r="D346" s="5" t="s">
        <v>1</v>
      </c>
      <c r="E346">
        <v>59</v>
      </c>
      <c r="F346" s="5" t="s">
        <v>19</v>
      </c>
      <c r="G346">
        <v>1</v>
      </c>
      <c r="H346" s="11">
        <v>500</v>
      </c>
      <c r="I346" s="11">
        <v>500</v>
      </c>
      <c r="J346" t="s">
        <v>24</v>
      </c>
      <c r="K346" t="s">
        <v>1030</v>
      </c>
      <c r="L346" t="s">
        <v>1038</v>
      </c>
      <c r="M346" t="s">
        <v>1033</v>
      </c>
      <c r="N346">
        <v>9</v>
      </c>
      <c r="O346" t="s">
        <v>1043</v>
      </c>
    </row>
    <row r="347" spans="1:15" x14ac:dyDescent="0.25">
      <c r="A347">
        <v>845</v>
      </c>
      <c r="B347" s="6">
        <v>44932</v>
      </c>
      <c r="C347" s="5" t="s">
        <v>367</v>
      </c>
      <c r="D347" s="5" t="s">
        <v>2</v>
      </c>
      <c r="E347">
        <v>54</v>
      </c>
      <c r="F347" s="5" t="s">
        <v>19</v>
      </c>
      <c r="G347">
        <v>1</v>
      </c>
      <c r="H347" s="11">
        <v>500</v>
      </c>
      <c r="I347" s="11">
        <v>500</v>
      </c>
      <c r="J347" t="s">
        <v>20</v>
      </c>
      <c r="K347" t="s">
        <v>1028</v>
      </c>
      <c r="L347" t="s">
        <v>1038</v>
      </c>
      <c r="M347" t="s">
        <v>1039</v>
      </c>
      <c r="N347">
        <v>1</v>
      </c>
      <c r="O347" t="s">
        <v>1045</v>
      </c>
    </row>
    <row r="348" spans="1:15" x14ac:dyDescent="0.25">
      <c r="A348">
        <v>904</v>
      </c>
      <c r="B348" s="6">
        <v>45111</v>
      </c>
      <c r="C348" s="5" t="s">
        <v>368</v>
      </c>
      <c r="D348" s="5" t="s">
        <v>2</v>
      </c>
      <c r="E348">
        <v>28</v>
      </c>
      <c r="F348" s="5" t="s">
        <v>19</v>
      </c>
      <c r="G348">
        <v>1</v>
      </c>
      <c r="H348" s="11">
        <v>500</v>
      </c>
      <c r="I348" s="11">
        <v>500</v>
      </c>
      <c r="J348" t="s">
        <v>22</v>
      </c>
      <c r="K348" t="s">
        <v>1029</v>
      </c>
      <c r="L348" t="s">
        <v>1038</v>
      </c>
      <c r="M348" t="s">
        <v>1033</v>
      </c>
      <c r="N348">
        <v>7</v>
      </c>
      <c r="O348" t="s">
        <v>1046</v>
      </c>
    </row>
    <row r="349" spans="1:15" x14ac:dyDescent="0.25">
      <c r="A349">
        <v>942</v>
      </c>
      <c r="B349" s="6">
        <v>45003</v>
      </c>
      <c r="C349" s="5" t="s">
        <v>369</v>
      </c>
      <c r="D349" s="5" t="s">
        <v>2</v>
      </c>
      <c r="E349">
        <v>51</v>
      </c>
      <c r="F349" s="5" t="s">
        <v>19</v>
      </c>
      <c r="G349">
        <v>3</v>
      </c>
      <c r="H349" s="11">
        <v>500</v>
      </c>
      <c r="I349" s="11">
        <v>1500</v>
      </c>
      <c r="J349" t="s">
        <v>20</v>
      </c>
      <c r="K349" t="s">
        <v>1028</v>
      </c>
      <c r="L349" t="s">
        <v>1038</v>
      </c>
      <c r="M349" t="s">
        <v>1039</v>
      </c>
      <c r="N349">
        <v>3</v>
      </c>
      <c r="O349" t="s">
        <v>1040</v>
      </c>
    </row>
    <row r="350" spans="1:15" x14ac:dyDescent="0.25">
      <c r="A350">
        <v>956</v>
      </c>
      <c r="B350" s="6">
        <v>45157</v>
      </c>
      <c r="C350" s="5" t="s">
        <v>370</v>
      </c>
      <c r="D350" s="5" t="s">
        <v>2</v>
      </c>
      <c r="E350">
        <v>30</v>
      </c>
      <c r="F350" s="5" t="s">
        <v>19</v>
      </c>
      <c r="G350">
        <v>3</v>
      </c>
      <c r="H350" s="11">
        <v>500</v>
      </c>
      <c r="I350" s="11">
        <v>1500</v>
      </c>
      <c r="J350" t="s">
        <v>20</v>
      </c>
      <c r="K350" t="s">
        <v>1028</v>
      </c>
      <c r="L350" t="s">
        <v>1038</v>
      </c>
      <c r="M350" t="s">
        <v>1033</v>
      </c>
      <c r="N350">
        <v>8</v>
      </c>
      <c r="O350" t="s">
        <v>1051</v>
      </c>
    </row>
    <row r="351" spans="1:15" x14ac:dyDescent="0.25">
      <c r="A351">
        <v>984</v>
      </c>
      <c r="B351" s="6">
        <v>45167</v>
      </c>
      <c r="C351" s="5" t="s">
        <v>371</v>
      </c>
      <c r="D351" s="5" t="s">
        <v>2</v>
      </c>
      <c r="E351">
        <v>56</v>
      </c>
      <c r="F351" s="5" t="s">
        <v>19</v>
      </c>
      <c r="G351">
        <v>1</v>
      </c>
      <c r="H351" s="11">
        <v>500</v>
      </c>
      <c r="I351" s="11">
        <v>500</v>
      </c>
      <c r="J351" t="s">
        <v>24</v>
      </c>
      <c r="K351" t="s">
        <v>1030</v>
      </c>
      <c r="L351" t="s">
        <v>1038</v>
      </c>
      <c r="M351" t="s">
        <v>1033</v>
      </c>
      <c r="N351">
        <v>8</v>
      </c>
      <c r="O351" t="s">
        <v>1051</v>
      </c>
    </row>
    <row r="352" spans="1:15" x14ac:dyDescent="0.25">
      <c r="A352">
        <v>986</v>
      </c>
      <c r="B352" s="6">
        <v>44943</v>
      </c>
      <c r="C352" s="5" t="s">
        <v>372</v>
      </c>
      <c r="D352" s="5" t="s">
        <v>1</v>
      </c>
      <c r="E352">
        <v>49</v>
      </c>
      <c r="F352" s="5" t="s">
        <v>19</v>
      </c>
      <c r="G352">
        <v>2</v>
      </c>
      <c r="H352" s="11">
        <v>500</v>
      </c>
      <c r="I352" s="11">
        <v>1000</v>
      </c>
      <c r="J352" t="s">
        <v>20</v>
      </c>
      <c r="K352" t="s">
        <v>1028</v>
      </c>
      <c r="L352" t="s">
        <v>1038</v>
      </c>
      <c r="M352" t="s">
        <v>1039</v>
      </c>
      <c r="N352">
        <v>1</v>
      </c>
      <c r="O352" t="s">
        <v>1045</v>
      </c>
    </row>
    <row r="353" spans="1:15" x14ac:dyDescent="0.25">
      <c r="A353">
        <v>3</v>
      </c>
      <c r="B353" s="6">
        <v>44939</v>
      </c>
      <c r="C353" s="5" t="s">
        <v>373</v>
      </c>
      <c r="D353" s="5" t="s">
        <v>2</v>
      </c>
      <c r="E353">
        <v>50</v>
      </c>
      <c r="F353" s="5" t="s">
        <v>374</v>
      </c>
      <c r="G353">
        <v>1</v>
      </c>
      <c r="H353" s="11">
        <v>30</v>
      </c>
      <c r="I353" s="11">
        <v>30</v>
      </c>
      <c r="J353" t="s">
        <v>20</v>
      </c>
      <c r="K353" t="s">
        <v>1028</v>
      </c>
      <c r="L353" t="s">
        <v>1038</v>
      </c>
      <c r="M353" t="s">
        <v>1039</v>
      </c>
      <c r="N353">
        <v>1</v>
      </c>
      <c r="O353" t="s">
        <v>1045</v>
      </c>
    </row>
    <row r="354" spans="1:15" x14ac:dyDescent="0.25">
      <c r="A354">
        <v>8</v>
      </c>
      <c r="B354" s="6">
        <v>44979</v>
      </c>
      <c r="C354" s="5" t="s">
        <v>375</v>
      </c>
      <c r="D354" s="5" t="s">
        <v>2</v>
      </c>
      <c r="E354">
        <v>30</v>
      </c>
      <c r="F354" s="5" t="s">
        <v>374</v>
      </c>
      <c r="G354">
        <v>4</v>
      </c>
      <c r="H354" s="11">
        <v>25</v>
      </c>
      <c r="I354" s="11">
        <v>100</v>
      </c>
      <c r="J354" t="s">
        <v>20</v>
      </c>
      <c r="K354" t="s">
        <v>1028</v>
      </c>
      <c r="L354" t="s">
        <v>1038</v>
      </c>
      <c r="M354" t="s">
        <v>1039</v>
      </c>
      <c r="N354">
        <v>2</v>
      </c>
      <c r="O354" t="s">
        <v>1044</v>
      </c>
    </row>
    <row r="355" spans="1:15" x14ac:dyDescent="0.25">
      <c r="A355">
        <v>9</v>
      </c>
      <c r="B355" s="6">
        <v>45273</v>
      </c>
      <c r="C355" s="5" t="s">
        <v>376</v>
      </c>
      <c r="D355" s="5" t="s">
        <v>2</v>
      </c>
      <c r="E355">
        <v>63</v>
      </c>
      <c r="F355" s="5" t="s">
        <v>374</v>
      </c>
      <c r="G355">
        <v>2</v>
      </c>
      <c r="H355" s="11">
        <v>300</v>
      </c>
      <c r="I355" s="11">
        <v>600</v>
      </c>
      <c r="J355" t="s">
        <v>24</v>
      </c>
      <c r="K355" t="s">
        <v>1030</v>
      </c>
      <c r="L355" t="s">
        <v>1038</v>
      </c>
      <c r="M355" t="s">
        <v>1047</v>
      </c>
      <c r="N355">
        <v>12</v>
      </c>
      <c r="O355" t="s">
        <v>1052</v>
      </c>
    </row>
    <row r="356" spans="1:15" x14ac:dyDescent="0.25">
      <c r="A356">
        <v>13</v>
      </c>
      <c r="B356" s="6">
        <v>45143</v>
      </c>
      <c r="C356" s="5" t="s">
        <v>377</v>
      </c>
      <c r="D356" s="5" t="s">
        <v>2</v>
      </c>
      <c r="E356">
        <v>22</v>
      </c>
      <c r="F356" s="5" t="s">
        <v>374</v>
      </c>
      <c r="G356">
        <v>3</v>
      </c>
      <c r="H356" s="11">
        <v>500</v>
      </c>
      <c r="I356" s="11">
        <v>1500</v>
      </c>
      <c r="J356" t="s">
        <v>22</v>
      </c>
      <c r="K356" t="s">
        <v>1029</v>
      </c>
      <c r="L356" t="s">
        <v>1038</v>
      </c>
      <c r="M356" t="s">
        <v>1033</v>
      </c>
      <c r="N356">
        <v>8</v>
      </c>
      <c r="O356" t="s">
        <v>1051</v>
      </c>
    </row>
    <row r="357" spans="1:15" x14ac:dyDescent="0.25">
      <c r="A357">
        <v>15</v>
      </c>
      <c r="B357" s="6">
        <v>44942</v>
      </c>
      <c r="C357" s="5" t="s">
        <v>378</v>
      </c>
      <c r="D357" s="5" t="s">
        <v>1</v>
      </c>
      <c r="E357">
        <v>42</v>
      </c>
      <c r="F357" s="5" t="s">
        <v>374</v>
      </c>
      <c r="G357">
        <v>4</v>
      </c>
      <c r="H357" s="11">
        <v>500</v>
      </c>
      <c r="I357" s="11">
        <v>2000</v>
      </c>
      <c r="J357" t="s">
        <v>20</v>
      </c>
      <c r="K357" t="s">
        <v>1028</v>
      </c>
      <c r="L357" t="s">
        <v>1038</v>
      </c>
      <c r="M357" t="s">
        <v>1039</v>
      </c>
      <c r="N357">
        <v>1</v>
      </c>
      <c r="O357" t="s">
        <v>1045</v>
      </c>
    </row>
    <row r="358" spans="1:15" x14ac:dyDescent="0.25">
      <c r="A358">
        <v>18</v>
      </c>
      <c r="B358" s="6">
        <v>45046</v>
      </c>
      <c r="C358" s="5" t="s">
        <v>379</v>
      </c>
      <c r="D358" s="5" t="s">
        <v>1</v>
      </c>
      <c r="E358">
        <v>47</v>
      </c>
      <c r="F358" s="5" t="s">
        <v>374</v>
      </c>
      <c r="G358">
        <v>2</v>
      </c>
      <c r="H358" s="11">
        <v>25</v>
      </c>
      <c r="I358" s="11">
        <v>50</v>
      </c>
      <c r="J358" t="s">
        <v>20</v>
      </c>
      <c r="K358" t="s">
        <v>1028</v>
      </c>
      <c r="L358" t="s">
        <v>1038</v>
      </c>
      <c r="M358" t="s">
        <v>1041</v>
      </c>
      <c r="N358">
        <v>4</v>
      </c>
      <c r="O358" t="s">
        <v>1042</v>
      </c>
    </row>
    <row r="359" spans="1:15" x14ac:dyDescent="0.25">
      <c r="A359">
        <v>26</v>
      </c>
      <c r="B359" s="6">
        <v>45206</v>
      </c>
      <c r="C359" s="5" t="s">
        <v>380</v>
      </c>
      <c r="D359" s="5" t="s">
        <v>1</v>
      </c>
      <c r="E359">
        <v>28</v>
      </c>
      <c r="F359" s="5" t="s">
        <v>374</v>
      </c>
      <c r="G359">
        <v>2</v>
      </c>
      <c r="H359" s="11">
        <v>500</v>
      </c>
      <c r="I359" s="11">
        <v>1000</v>
      </c>
      <c r="J359" t="s">
        <v>22</v>
      </c>
      <c r="K359" t="s">
        <v>1029</v>
      </c>
      <c r="L359" t="s">
        <v>1038</v>
      </c>
      <c r="M359" t="s">
        <v>1047</v>
      </c>
      <c r="N359">
        <v>10</v>
      </c>
      <c r="O359" t="s">
        <v>1049</v>
      </c>
    </row>
    <row r="360" spans="1:15" x14ac:dyDescent="0.25">
      <c r="A360">
        <v>29</v>
      </c>
      <c r="B360" s="6">
        <v>45156</v>
      </c>
      <c r="C360" s="5" t="s">
        <v>381</v>
      </c>
      <c r="D360" s="5" t="s">
        <v>1</v>
      </c>
      <c r="E360">
        <v>42</v>
      </c>
      <c r="F360" s="5" t="s">
        <v>374</v>
      </c>
      <c r="G360">
        <v>1</v>
      </c>
      <c r="H360" s="11">
        <v>30</v>
      </c>
      <c r="I360" s="11">
        <v>30</v>
      </c>
      <c r="J360" t="s">
        <v>20</v>
      </c>
      <c r="K360" t="s">
        <v>1028</v>
      </c>
      <c r="L360" t="s">
        <v>1038</v>
      </c>
      <c r="M360" t="s">
        <v>1033</v>
      </c>
      <c r="N360">
        <v>8</v>
      </c>
      <c r="O360" t="s">
        <v>1051</v>
      </c>
    </row>
    <row r="361" spans="1:15" x14ac:dyDescent="0.25">
      <c r="A361">
        <v>31</v>
      </c>
      <c r="B361" s="6">
        <v>45069</v>
      </c>
      <c r="C361" s="5" t="s">
        <v>382</v>
      </c>
      <c r="D361" s="5" t="s">
        <v>2</v>
      </c>
      <c r="E361">
        <v>44</v>
      </c>
      <c r="F361" s="5" t="s">
        <v>374</v>
      </c>
      <c r="G361">
        <v>4</v>
      </c>
      <c r="H361" s="11">
        <v>300</v>
      </c>
      <c r="I361" s="11">
        <v>1200</v>
      </c>
      <c r="J361" t="s">
        <v>20</v>
      </c>
      <c r="K361" t="s">
        <v>1028</v>
      </c>
      <c r="L361" t="s">
        <v>1038</v>
      </c>
      <c r="M361" t="s">
        <v>1041</v>
      </c>
      <c r="N361">
        <v>5</v>
      </c>
      <c r="O361" t="s">
        <v>1032</v>
      </c>
    </row>
    <row r="362" spans="1:15" x14ac:dyDescent="0.25">
      <c r="A362">
        <v>33</v>
      </c>
      <c r="B362" s="6">
        <v>45008</v>
      </c>
      <c r="C362" s="5" t="s">
        <v>383</v>
      </c>
      <c r="D362" s="5" t="s">
        <v>1</v>
      </c>
      <c r="E362">
        <v>50</v>
      </c>
      <c r="F362" s="5" t="s">
        <v>374</v>
      </c>
      <c r="G362">
        <v>2</v>
      </c>
      <c r="H362" s="11">
        <v>50</v>
      </c>
      <c r="I362" s="11">
        <v>100</v>
      </c>
      <c r="J362" t="s">
        <v>20</v>
      </c>
      <c r="K362" t="s">
        <v>1028</v>
      </c>
      <c r="L362" t="s">
        <v>1038</v>
      </c>
      <c r="M362" t="s">
        <v>1039</v>
      </c>
      <c r="N362">
        <v>3</v>
      </c>
      <c r="O362" t="s">
        <v>1040</v>
      </c>
    </row>
    <row r="363" spans="1:15" x14ac:dyDescent="0.25">
      <c r="A363">
        <v>45</v>
      </c>
      <c r="B363" s="6">
        <v>45110</v>
      </c>
      <c r="C363" s="5" t="s">
        <v>384</v>
      </c>
      <c r="D363" s="5" t="s">
        <v>1</v>
      </c>
      <c r="E363">
        <v>55</v>
      </c>
      <c r="F363" s="5" t="s">
        <v>374</v>
      </c>
      <c r="G363">
        <v>1</v>
      </c>
      <c r="H363" s="11">
        <v>30</v>
      </c>
      <c r="I363" s="11">
        <v>30</v>
      </c>
      <c r="J363" t="s">
        <v>20</v>
      </c>
      <c r="K363" t="s">
        <v>1028</v>
      </c>
      <c r="L363" t="s">
        <v>1038</v>
      </c>
      <c r="M363" t="s">
        <v>1033</v>
      </c>
      <c r="N363">
        <v>7</v>
      </c>
      <c r="O363" t="s">
        <v>1046</v>
      </c>
    </row>
    <row r="364" spans="1:15" x14ac:dyDescent="0.25">
      <c r="A364">
        <v>46</v>
      </c>
      <c r="B364" s="6">
        <v>45103</v>
      </c>
      <c r="C364" s="5" t="s">
        <v>385</v>
      </c>
      <c r="D364" s="5" t="s">
        <v>1</v>
      </c>
      <c r="E364">
        <v>20</v>
      </c>
      <c r="F364" s="5" t="s">
        <v>374</v>
      </c>
      <c r="G364">
        <v>4</v>
      </c>
      <c r="H364" s="11">
        <v>300</v>
      </c>
      <c r="I364" s="11">
        <v>1200</v>
      </c>
      <c r="J364" t="s">
        <v>22</v>
      </c>
      <c r="K364" t="s">
        <v>1029</v>
      </c>
      <c r="L364" t="s">
        <v>1038</v>
      </c>
      <c r="M364" t="s">
        <v>1041</v>
      </c>
      <c r="N364">
        <v>6</v>
      </c>
      <c r="O364" t="s">
        <v>1050</v>
      </c>
    </row>
    <row r="365" spans="1:15" x14ac:dyDescent="0.25">
      <c r="A365">
        <v>48</v>
      </c>
      <c r="B365" s="6">
        <v>45062</v>
      </c>
      <c r="C365" s="5" t="s">
        <v>386</v>
      </c>
      <c r="D365" s="5" t="s">
        <v>2</v>
      </c>
      <c r="E365">
        <v>54</v>
      </c>
      <c r="F365" s="5" t="s">
        <v>374</v>
      </c>
      <c r="G365">
        <v>3</v>
      </c>
      <c r="H365" s="11">
        <v>300</v>
      </c>
      <c r="I365" s="11">
        <v>900</v>
      </c>
      <c r="J365" t="s">
        <v>20</v>
      </c>
      <c r="K365" t="s">
        <v>1028</v>
      </c>
      <c r="L365" t="s">
        <v>1038</v>
      </c>
      <c r="M365" t="s">
        <v>1041</v>
      </c>
      <c r="N365">
        <v>5</v>
      </c>
      <c r="O365" t="s">
        <v>1032</v>
      </c>
    </row>
    <row r="366" spans="1:15" x14ac:dyDescent="0.25">
      <c r="A366">
        <v>49</v>
      </c>
      <c r="B366" s="6">
        <v>44949</v>
      </c>
      <c r="C366" s="5" t="s">
        <v>387</v>
      </c>
      <c r="D366" s="5" t="s">
        <v>1</v>
      </c>
      <c r="E366">
        <v>54</v>
      </c>
      <c r="F366" s="5" t="s">
        <v>374</v>
      </c>
      <c r="G366">
        <v>2</v>
      </c>
      <c r="H366" s="11">
        <v>500</v>
      </c>
      <c r="I366" s="11">
        <v>1000</v>
      </c>
      <c r="J366" t="s">
        <v>20</v>
      </c>
      <c r="K366" t="s">
        <v>1028</v>
      </c>
      <c r="L366" t="s">
        <v>1038</v>
      </c>
      <c r="M366" t="s">
        <v>1039</v>
      </c>
      <c r="N366">
        <v>1</v>
      </c>
      <c r="O366" t="s">
        <v>1045</v>
      </c>
    </row>
    <row r="367" spans="1:15" x14ac:dyDescent="0.25">
      <c r="A367">
        <v>53</v>
      </c>
      <c r="B367" s="6">
        <v>45120</v>
      </c>
      <c r="C367" s="5" t="s">
        <v>388</v>
      </c>
      <c r="D367" s="5" t="s">
        <v>2</v>
      </c>
      <c r="E367">
        <v>34</v>
      </c>
      <c r="F367" s="5" t="s">
        <v>374</v>
      </c>
      <c r="G367">
        <v>2</v>
      </c>
      <c r="H367" s="11">
        <v>50</v>
      </c>
      <c r="I367" s="11">
        <v>100</v>
      </c>
      <c r="J367" t="s">
        <v>20</v>
      </c>
      <c r="K367" t="s">
        <v>1028</v>
      </c>
      <c r="L367" t="s">
        <v>1038</v>
      </c>
      <c r="M367" t="s">
        <v>1033</v>
      </c>
      <c r="N367">
        <v>7</v>
      </c>
      <c r="O367" t="s">
        <v>1046</v>
      </c>
    </row>
    <row r="368" spans="1:15" x14ac:dyDescent="0.25">
      <c r="A368">
        <v>54</v>
      </c>
      <c r="B368" s="6">
        <v>44967</v>
      </c>
      <c r="C368" s="5" t="s">
        <v>389</v>
      </c>
      <c r="D368" s="5" t="s">
        <v>1</v>
      </c>
      <c r="E368">
        <v>38</v>
      </c>
      <c r="F368" s="5" t="s">
        <v>374</v>
      </c>
      <c r="G368">
        <v>3</v>
      </c>
      <c r="H368" s="11">
        <v>500</v>
      </c>
      <c r="I368" s="11">
        <v>1500</v>
      </c>
      <c r="J368" t="s">
        <v>20</v>
      </c>
      <c r="K368" t="s">
        <v>1028</v>
      </c>
      <c r="L368" t="s">
        <v>1038</v>
      </c>
      <c r="M368" t="s">
        <v>1039</v>
      </c>
      <c r="N368">
        <v>2</v>
      </c>
      <c r="O368" t="s">
        <v>1044</v>
      </c>
    </row>
    <row r="369" spans="1:15" x14ac:dyDescent="0.25">
      <c r="A369">
        <v>63</v>
      </c>
      <c r="B369" s="6">
        <v>44962</v>
      </c>
      <c r="C369" s="5" t="s">
        <v>390</v>
      </c>
      <c r="D369" s="5" t="s">
        <v>2</v>
      </c>
      <c r="E369">
        <v>57</v>
      </c>
      <c r="F369" s="5" t="s">
        <v>374</v>
      </c>
      <c r="G369">
        <v>2</v>
      </c>
      <c r="H369" s="11">
        <v>25</v>
      </c>
      <c r="I369" s="11">
        <v>50</v>
      </c>
      <c r="J369" t="s">
        <v>24</v>
      </c>
      <c r="K369" t="s">
        <v>1030</v>
      </c>
      <c r="L369" t="s">
        <v>1038</v>
      </c>
      <c r="M369" t="s">
        <v>1039</v>
      </c>
      <c r="N369">
        <v>2</v>
      </c>
      <c r="O369" t="s">
        <v>1044</v>
      </c>
    </row>
    <row r="370" spans="1:15" x14ac:dyDescent="0.25">
      <c r="A370">
        <v>65</v>
      </c>
      <c r="B370" s="6">
        <v>45265</v>
      </c>
      <c r="C370" s="5" t="s">
        <v>391</v>
      </c>
      <c r="D370" s="5" t="s">
        <v>2</v>
      </c>
      <c r="E370">
        <v>51</v>
      </c>
      <c r="F370" s="5" t="s">
        <v>374</v>
      </c>
      <c r="G370">
        <v>4</v>
      </c>
      <c r="H370" s="11">
        <v>500</v>
      </c>
      <c r="I370" s="11">
        <v>2000</v>
      </c>
      <c r="J370" t="s">
        <v>20</v>
      </c>
      <c r="K370" t="s">
        <v>1028</v>
      </c>
      <c r="L370" t="s">
        <v>1038</v>
      </c>
      <c r="M370" t="s">
        <v>1047</v>
      </c>
      <c r="N370">
        <v>12</v>
      </c>
      <c r="O370" t="s">
        <v>1052</v>
      </c>
    </row>
    <row r="371" spans="1:15" x14ac:dyDescent="0.25">
      <c r="A371">
        <v>66</v>
      </c>
      <c r="B371" s="6">
        <v>45043</v>
      </c>
      <c r="C371" s="5" t="s">
        <v>392</v>
      </c>
      <c r="D371" s="5" t="s">
        <v>1</v>
      </c>
      <c r="E371">
        <v>45</v>
      </c>
      <c r="F371" s="5" t="s">
        <v>374</v>
      </c>
      <c r="G371">
        <v>1</v>
      </c>
      <c r="H371" s="11">
        <v>30</v>
      </c>
      <c r="I371" s="11">
        <v>30</v>
      </c>
      <c r="J371" t="s">
        <v>20</v>
      </c>
      <c r="K371" t="s">
        <v>1028</v>
      </c>
      <c r="L371" t="s">
        <v>1038</v>
      </c>
      <c r="M371" t="s">
        <v>1041</v>
      </c>
      <c r="N371">
        <v>4</v>
      </c>
      <c r="O371" t="s">
        <v>1042</v>
      </c>
    </row>
    <row r="372" spans="1:15" x14ac:dyDescent="0.25">
      <c r="A372">
        <v>68</v>
      </c>
      <c r="B372" s="6">
        <v>44967</v>
      </c>
      <c r="C372" s="5" t="s">
        <v>393</v>
      </c>
      <c r="D372" s="5" t="s">
        <v>2</v>
      </c>
      <c r="E372">
        <v>25</v>
      </c>
      <c r="F372" s="5" t="s">
        <v>374</v>
      </c>
      <c r="G372">
        <v>1</v>
      </c>
      <c r="H372" s="11">
        <v>300</v>
      </c>
      <c r="I372" s="11">
        <v>300</v>
      </c>
      <c r="J372" t="s">
        <v>22</v>
      </c>
      <c r="K372" t="s">
        <v>1029</v>
      </c>
      <c r="L372" t="s">
        <v>1038</v>
      </c>
      <c r="M372" t="s">
        <v>1039</v>
      </c>
      <c r="N372">
        <v>2</v>
      </c>
      <c r="O372" t="s">
        <v>1044</v>
      </c>
    </row>
    <row r="373" spans="1:15" x14ac:dyDescent="0.25">
      <c r="A373">
        <v>72</v>
      </c>
      <c r="B373" s="6">
        <v>45069</v>
      </c>
      <c r="C373" s="5" t="s">
        <v>394</v>
      </c>
      <c r="D373" s="5" t="s">
        <v>1</v>
      </c>
      <c r="E373">
        <v>20</v>
      </c>
      <c r="F373" s="5" t="s">
        <v>374</v>
      </c>
      <c r="G373">
        <v>4</v>
      </c>
      <c r="H373" s="11">
        <v>500</v>
      </c>
      <c r="I373" s="11">
        <v>2000</v>
      </c>
      <c r="J373" t="s">
        <v>22</v>
      </c>
      <c r="K373" t="s">
        <v>1029</v>
      </c>
      <c r="L373" t="s">
        <v>1038</v>
      </c>
      <c r="M373" t="s">
        <v>1041</v>
      </c>
      <c r="N373">
        <v>5</v>
      </c>
      <c r="O373" t="s">
        <v>1032</v>
      </c>
    </row>
    <row r="374" spans="1:15" x14ac:dyDescent="0.25">
      <c r="A374">
        <v>73</v>
      </c>
      <c r="B374" s="6">
        <v>45159</v>
      </c>
      <c r="C374" s="5" t="s">
        <v>395</v>
      </c>
      <c r="D374" s="5" t="s">
        <v>2</v>
      </c>
      <c r="E374">
        <v>29</v>
      </c>
      <c r="F374" s="5" t="s">
        <v>374</v>
      </c>
      <c r="G374">
        <v>3</v>
      </c>
      <c r="H374" s="11">
        <v>30</v>
      </c>
      <c r="I374" s="11">
        <v>90</v>
      </c>
      <c r="J374" t="s">
        <v>22</v>
      </c>
      <c r="K374" t="s">
        <v>1029</v>
      </c>
      <c r="L374" t="s">
        <v>1038</v>
      </c>
      <c r="M374" t="s">
        <v>1033</v>
      </c>
      <c r="N374">
        <v>8</v>
      </c>
      <c r="O374" t="s">
        <v>1051</v>
      </c>
    </row>
    <row r="375" spans="1:15" x14ac:dyDescent="0.25">
      <c r="A375">
        <v>76</v>
      </c>
      <c r="B375" s="6">
        <v>45010</v>
      </c>
      <c r="C375" s="5" t="s">
        <v>396</v>
      </c>
      <c r="D375" s="5" t="s">
        <v>1</v>
      </c>
      <c r="E375">
        <v>22</v>
      </c>
      <c r="F375" s="5" t="s">
        <v>374</v>
      </c>
      <c r="G375">
        <v>2</v>
      </c>
      <c r="H375" s="11">
        <v>50</v>
      </c>
      <c r="I375" s="11">
        <v>100</v>
      </c>
      <c r="J375" t="s">
        <v>22</v>
      </c>
      <c r="K375" t="s">
        <v>1029</v>
      </c>
      <c r="L375" t="s">
        <v>1038</v>
      </c>
      <c r="M375" t="s">
        <v>1039</v>
      </c>
      <c r="N375">
        <v>3</v>
      </c>
      <c r="O375" t="s">
        <v>1040</v>
      </c>
    </row>
    <row r="376" spans="1:15" x14ac:dyDescent="0.25">
      <c r="A376">
        <v>81</v>
      </c>
      <c r="B376" s="6">
        <v>45063</v>
      </c>
      <c r="C376" s="5" t="s">
        <v>397</v>
      </c>
      <c r="D376" s="5" t="s">
        <v>2</v>
      </c>
      <c r="E376">
        <v>40</v>
      </c>
      <c r="F376" s="5" t="s">
        <v>374</v>
      </c>
      <c r="G376">
        <v>1</v>
      </c>
      <c r="H376" s="11">
        <v>50</v>
      </c>
      <c r="I376" s="11">
        <v>50</v>
      </c>
      <c r="J376" t="s">
        <v>20</v>
      </c>
      <c r="K376" t="s">
        <v>1028</v>
      </c>
      <c r="L376" t="s">
        <v>1038</v>
      </c>
      <c r="M376" t="s">
        <v>1041</v>
      </c>
      <c r="N376">
        <v>5</v>
      </c>
      <c r="O376" t="s">
        <v>1032</v>
      </c>
    </row>
    <row r="377" spans="1:15" x14ac:dyDescent="0.25">
      <c r="A377">
        <v>83</v>
      </c>
      <c r="B377" s="6">
        <v>45276</v>
      </c>
      <c r="C377" s="5" t="s">
        <v>398</v>
      </c>
      <c r="D377" s="5" t="s">
        <v>2</v>
      </c>
      <c r="E377">
        <v>54</v>
      </c>
      <c r="F377" s="5" t="s">
        <v>374</v>
      </c>
      <c r="G377">
        <v>2</v>
      </c>
      <c r="H377" s="11">
        <v>50</v>
      </c>
      <c r="I377" s="11">
        <v>100</v>
      </c>
      <c r="J377" t="s">
        <v>20</v>
      </c>
      <c r="K377" t="s">
        <v>1028</v>
      </c>
      <c r="L377" t="s">
        <v>1038</v>
      </c>
      <c r="M377" t="s">
        <v>1047</v>
      </c>
      <c r="N377">
        <v>12</v>
      </c>
      <c r="O377" t="s">
        <v>1052</v>
      </c>
    </row>
    <row r="378" spans="1:15" x14ac:dyDescent="0.25">
      <c r="A378">
        <v>84</v>
      </c>
      <c r="B378" s="6">
        <v>45258</v>
      </c>
      <c r="C378" s="5" t="s">
        <v>399</v>
      </c>
      <c r="D378" s="5" t="s">
        <v>1</v>
      </c>
      <c r="E378">
        <v>38</v>
      </c>
      <c r="F378" s="5" t="s">
        <v>374</v>
      </c>
      <c r="G378">
        <v>3</v>
      </c>
      <c r="H378" s="11">
        <v>30</v>
      </c>
      <c r="I378" s="11">
        <v>90</v>
      </c>
      <c r="J378" t="s">
        <v>20</v>
      </c>
      <c r="K378" t="s">
        <v>1028</v>
      </c>
      <c r="L378" t="s">
        <v>1038</v>
      </c>
      <c r="M378" t="s">
        <v>1047</v>
      </c>
      <c r="N378">
        <v>11</v>
      </c>
      <c r="O378" t="s">
        <v>1048</v>
      </c>
    </row>
    <row r="379" spans="1:15" x14ac:dyDescent="0.25">
      <c r="A379">
        <v>89</v>
      </c>
      <c r="B379" s="6">
        <v>45200</v>
      </c>
      <c r="C379" s="5" t="s">
        <v>400</v>
      </c>
      <c r="D379" s="5" t="s">
        <v>1</v>
      </c>
      <c r="E379">
        <v>55</v>
      </c>
      <c r="F379" s="5" t="s">
        <v>374</v>
      </c>
      <c r="G379">
        <v>4</v>
      </c>
      <c r="H379" s="11">
        <v>500</v>
      </c>
      <c r="I379" s="11">
        <v>2000</v>
      </c>
      <c r="J379" t="s">
        <v>20</v>
      </c>
      <c r="K379" t="s">
        <v>1028</v>
      </c>
      <c r="L379" t="s">
        <v>1038</v>
      </c>
      <c r="M379" t="s">
        <v>1047</v>
      </c>
      <c r="N379">
        <v>10</v>
      </c>
      <c r="O379" t="s">
        <v>1049</v>
      </c>
    </row>
    <row r="380" spans="1:15" x14ac:dyDescent="0.25">
      <c r="A380">
        <v>90</v>
      </c>
      <c r="B380" s="6">
        <v>45052</v>
      </c>
      <c r="C380" s="5" t="s">
        <v>401</v>
      </c>
      <c r="D380" s="5" t="s">
        <v>1</v>
      </c>
      <c r="E380">
        <v>51</v>
      </c>
      <c r="F380" s="5" t="s">
        <v>374</v>
      </c>
      <c r="G380">
        <v>1</v>
      </c>
      <c r="H380" s="11">
        <v>30</v>
      </c>
      <c r="I380" s="11">
        <v>30</v>
      </c>
      <c r="J380" t="s">
        <v>20</v>
      </c>
      <c r="K380" t="s">
        <v>1028</v>
      </c>
      <c r="L380" t="s">
        <v>1038</v>
      </c>
      <c r="M380" t="s">
        <v>1041</v>
      </c>
      <c r="N380">
        <v>5</v>
      </c>
      <c r="O380" t="s">
        <v>1032</v>
      </c>
    </row>
    <row r="381" spans="1:15" x14ac:dyDescent="0.25">
      <c r="A381">
        <v>91</v>
      </c>
      <c r="B381" s="6">
        <v>45010</v>
      </c>
      <c r="C381" s="5" t="s">
        <v>402</v>
      </c>
      <c r="D381" s="5" t="s">
        <v>1</v>
      </c>
      <c r="E381">
        <v>55</v>
      </c>
      <c r="F381" s="5" t="s">
        <v>374</v>
      </c>
      <c r="G381">
        <v>1</v>
      </c>
      <c r="H381" s="11">
        <v>500</v>
      </c>
      <c r="I381" s="11">
        <v>500</v>
      </c>
      <c r="J381" t="s">
        <v>20</v>
      </c>
      <c r="K381" t="s">
        <v>1028</v>
      </c>
      <c r="L381" t="s">
        <v>1038</v>
      </c>
      <c r="M381" t="s">
        <v>1039</v>
      </c>
      <c r="N381">
        <v>3</v>
      </c>
      <c r="O381" t="s">
        <v>1040</v>
      </c>
    </row>
    <row r="382" spans="1:15" x14ac:dyDescent="0.25">
      <c r="A382">
        <v>92</v>
      </c>
      <c r="B382" s="6">
        <v>45163</v>
      </c>
      <c r="C382" s="5" t="s">
        <v>403</v>
      </c>
      <c r="D382" s="5" t="s">
        <v>1</v>
      </c>
      <c r="E382">
        <v>51</v>
      </c>
      <c r="F382" s="5" t="s">
        <v>374</v>
      </c>
      <c r="G382">
        <v>4</v>
      </c>
      <c r="H382" s="11">
        <v>30</v>
      </c>
      <c r="I382" s="11">
        <v>120</v>
      </c>
      <c r="J382" t="s">
        <v>20</v>
      </c>
      <c r="K382" t="s">
        <v>1028</v>
      </c>
      <c r="L382" t="s">
        <v>1038</v>
      </c>
      <c r="M382" t="s">
        <v>1033</v>
      </c>
      <c r="N382">
        <v>8</v>
      </c>
      <c r="O382" t="s">
        <v>1051</v>
      </c>
    </row>
    <row r="383" spans="1:15" x14ac:dyDescent="0.25">
      <c r="A383">
        <v>99</v>
      </c>
      <c r="B383" s="6">
        <v>45277</v>
      </c>
      <c r="C383" s="5" t="s">
        <v>404</v>
      </c>
      <c r="D383" s="5" t="s">
        <v>1</v>
      </c>
      <c r="E383">
        <v>50</v>
      </c>
      <c r="F383" s="5" t="s">
        <v>374</v>
      </c>
      <c r="G383">
        <v>4</v>
      </c>
      <c r="H383" s="11">
        <v>300</v>
      </c>
      <c r="I383" s="11">
        <v>1200</v>
      </c>
      <c r="J383" t="s">
        <v>20</v>
      </c>
      <c r="K383" t="s">
        <v>1028</v>
      </c>
      <c r="L383" t="s">
        <v>1038</v>
      </c>
      <c r="M383" t="s">
        <v>1047</v>
      </c>
      <c r="N383">
        <v>12</v>
      </c>
      <c r="O383" t="s">
        <v>1052</v>
      </c>
    </row>
    <row r="384" spans="1:15" x14ac:dyDescent="0.25">
      <c r="A384">
        <v>100</v>
      </c>
      <c r="B384" s="6">
        <v>45093</v>
      </c>
      <c r="C384" s="5" t="s">
        <v>405</v>
      </c>
      <c r="D384" s="5" t="s">
        <v>2</v>
      </c>
      <c r="E384">
        <v>41</v>
      </c>
      <c r="F384" s="5" t="s">
        <v>374</v>
      </c>
      <c r="G384">
        <v>1</v>
      </c>
      <c r="H384" s="11">
        <v>30</v>
      </c>
      <c r="I384" s="11">
        <v>30</v>
      </c>
      <c r="J384" t="s">
        <v>20</v>
      </c>
      <c r="K384" t="s">
        <v>1028</v>
      </c>
      <c r="L384" t="s">
        <v>1038</v>
      </c>
      <c r="M384" t="s">
        <v>1041</v>
      </c>
      <c r="N384">
        <v>6</v>
      </c>
      <c r="O384" t="s">
        <v>1050</v>
      </c>
    </row>
    <row r="385" spans="1:15" x14ac:dyDescent="0.25">
      <c r="A385">
        <v>105</v>
      </c>
      <c r="B385" s="6">
        <v>45132</v>
      </c>
      <c r="C385" s="5" t="s">
        <v>406</v>
      </c>
      <c r="D385" s="5" t="s">
        <v>1</v>
      </c>
      <c r="E385">
        <v>22</v>
      </c>
      <c r="F385" s="5" t="s">
        <v>374</v>
      </c>
      <c r="G385">
        <v>1</v>
      </c>
      <c r="H385" s="11">
        <v>500</v>
      </c>
      <c r="I385" s="11">
        <v>500</v>
      </c>
      <c r="J385" t="s">
        <v>22</v>
      </c>
      <c r="K385" t="s">
        <v>1029</v>
      </c>
      <c r="L385" t="s">
        <v>1038</v>
      </c>
      <c r="M385" t="s">
        <v>1033</v>
      </c>
      <c r="N385">
        <v>7</v>
      </c>
      <c r="O385" t="s">
        <v>1046</v>
      </c>
    </row>
    <row r="386" spans="1:15" x14ac:dyDescent="0.25">
      <c r="A386">
        <v>109</v>
      </c>
      <c r="B386" s="6">
        <v>45217</v>
      </c>
      <c r="C386" s="5" t="s">
        <v>407</v>
      </c>
      <c r="D386" s="5" t="s">
        <v>1</v>
      </c>
      <c r="E386">
        <v>34</v>
      </c>
      <c r="F386" s="5" t="s">
        <v>374</v>
      </c>
      <c r="G386">
        <v>4</v>
      </c>
      <c r="H386" s="11">
        <v>500</v>
      </c>
      <c r="I386" s="11">
        <v>2000</v>
      </c>
      <c r="J386" t="s">
        <v>20</v>
      </c>
      <c r="K386" t="s">
        <v>1028</v>
      </c>
      <c r="L386" t="s">
        <v>1038</v>
      </c>
      <c r="M386" t="s">
        <v>1047</v>
      </c>
      <c r="N386">
        <v>10</v>
      </c>
      <c r="O386" t="s">
        <v>1049</v>
      </c>
    </row>
    <row r="387" spans="1:15" x14ac:dyDescent="0.25">
      <c r="A387">
        <v>111</v>
      </c>
      <c r="B387" s="6">
        <v>45035</v>
      </c>
      <c r="C387" s="5" t="s">
        <v>408</v>
      </c>
      <c r="D387" s="5" t="s">
        <v>1</v>
      </c>
      <c r="E387">
        <v>34</v>
      </c>
      <c r="F387" s="5" t="s">
        <v>374</v>
      </c>
      <c r="G387">
        <v>3</v>
      </c>
      <c r="H387" s="11">
        <v>500</v>
      </c>
      <c r="I387" s="11">
        <v>1500</v>
      </c>
      <c r="J387" t="s">
        <v>20</v>
      </c>
      <c r="K387" t="s">
        <v>1028</v>
      </c>
      <c r="L387" t="s">
        <v>1038</v>
      </c>
      <c r="M387" t="s">
        <v>1041</v>
      </c>
      <c r="N387">
        <v>4</v>
      </c>
      <c r="O387" t="s">
        <v>1042</v>
      </c>
    </row>
    <row r="388" spans="1:15" x14ac:dyDescent="0.25">
      <c r="A388">
        <v>113</v>
      </c>
      <c r="B388" s="6">
        <v>45182</v>
      </c>
      <c r="C388" s="5" t="s">
        <v>409</v>
      </c>
      <c r="D388" s="5" t="s">
        <v>1</v>
      </c>
      <c r="E388">
        <v>41</v>
      </c>
      <c r="F388" s="5" t="s">
        <v>374</v>
      </c>
      <c r="G388">
        <v>2</v>
      </c>
      <c r="H388" s="11">
        <v>25</v>
      </c>
      <c r="I388" s="11">
        <v>50</v>
      </c>
      <c r="J388" t="s">
        <v>20</v>
      </c>
      <c r="K388" t="s">
        <v>1028</v>
      </c>
      <c r="L388" t="s">
        <v>1038</v>
      </c>
      <c r="M388" t="s">
        <v>1033</v>
      </c>
      <c r="N388">
        <v>9</v>
      </c>
      <c r="O388" t="s">
        <v>1043</v>
      </c>
    </row>
    <row r="389" spans="1:15" x14ac:dyDescent="0.25">
      <c r="A389">
        <v>117</v>
      </c>
      <c r="B389" s="6">
        <v>45000</v>
      </c>
      <c r="C389" s="5" t="s">
        <v>410</v>
      </c>
      <c r="D389" s="5" t="s">
        <v>2</v>
      </c>
      <c r="E389">
        <v>19</v>
      </c>
      <c r="F389" s="5" t="s">
        <v>374</v>
      </c>
      <c r="G389">
        <v>2</v>
      </c>
      <c r="H389" s="11">
        <v>500</v>
      </c>
      <c r="I389" s="11">
        <v>1000</v>
      </c>
      <c r="J389" t="s">
        <v>22</v>
      </c>
      <c r="K389" t="s">
        <v>1029</v>
      </c>
      <c r="L389" t="s">
        <v>1038</v>
      </c>
      <c r="M389" t="s">
        <v>1039</v>
      </c>
      <c r="N389">
        <v>3</v>
      </c>
      <c r="O389" t="s">
        <v>1040</v>
      </c>
    </row>
    <row r="390" spans="1:15" x14ac:dyDescent="0.25">
      <c r="A390">
        <v>118</v>
      </c>
      <c r="B390" s="6">
        <v>45062</v>
      </c>
      <c r="C390" s="5" t="s">
        <v>411</v>
      </c>
      <c r="D390" s="5" t="s">
        <v>1</v>
      </c>
      <c r="E390">
        <v>30</v>
      </c>
      <c r="F390" s="5" t="s">
        <v>374</v>
      </c>
      <c r="G390">
        <v>4</v>
      </c>
      <c r="H390" s="11">
        <v>500</v>
      </c>
      <c r="I390" s="11">
        <v>2000</v>
      </c>
      <c r="J390" t="s">
        <v>20</v>
      </c>
      <c r="K390" t="s">
        <v>1028</v>
      </c>
      <c r="L390" t="s">
        <v>1038</v>
      </c>
      <c r="M390" t="s">
        <v>1041</v>
      </c>
      <c r="N390">
        <v>5</v>
      </c>
      <c r="O390" t="s">
        <v>1032</v>
      </c>
    </row>
    <row r="391" spans="1:15" x14ac:dyDescent="0.25">
      <c r="A391">
        <v>121</v>
      </c>
      <c r="B391" s="6">
        <v>45214</v>
      </c>
      <c r="C391" s="5" t="s">
        <v>412</v>
      </c>
      <c r="D391" s="5" t="s">
        <v>1</v>
      </c>
      <c r="E391">
        <v>28</v>
      </c>
      <c r="F391" s="5" t="s">
        <v>374</v>
      </c>
      <c r="G391">
        <v>4</v>
      </c>
      <c r="H391" s="11">
        <v>50</v>
      </c>
      <c r="I391" s="11">
        <v>200</v>
      </c>
      <c r="J391" t="s">
        <v>22</v>
      </c>
      <c r="K391" t="s">
        <v>1029</v>
      </c>
      <c r="L391" t="s">
        <v>1038</v>
      </c>
      <c r="M391" t="s">
        <v>1047</v>
      </c>
      <c r="N391">
        <v>10</v>
      </c>
      <c r="O391" t="s">
        <v>1049</v>
      </c>
    </row>
    <row r="392" spans="1:15" x14ac:dyDescent="0.25">
      <c r="A392">
        <v>122</v>
      </c>
      <c r="B392" s="6">
        <v>45202</v>
      </c>
      <c r="C392" s="5" t="s">
        <v>413</v>
      </c>
      <c r="D392" s="5" t="s">
        <v>2</v>
      </c>
      <c r="E392">
        <v>64</v>
      </c>
      <c r="F392" s="5" t="s">
        <v>374</v>
      </c>
      <c r="G392">
        <v>4</v>
      </c>
      <c r="H392" s="11">
        <v>30</v>
      </c>
      <c r="I392" s="11">
        <v>120</v>
      </c>
      <c r="J392" t="s">
        <v>24</v>
      </c>
      <c r="K392" t="s">
        <v>1030</v>
      </c>
      <c r="L392" t="s">
        <v>1038</v>
      </c>
      <c r="M392" t="s">
        <v>1047</v>
      </c>
      <c r="N392">
        <v>10</v>
      </c>
      <c r="O392" t="s">
        <v>1049</v>
      </c>
    </row>
    <row r="393" spans="1:15" x14ac:dyDescent="0.25">
      <c r="A393">
        <v>123</v>
      </c>
      <c r="B393" s="6">
        <v>45061</v>
      </c>
      <c r="C393" s="5" t="s">
        <v>414</v>
      </c>
      <c r="D393" s="5" t="s">
        <v>1</v>
      </c>
      <c r="E393">
        <v>40</v>
      </c>
      <c r="F393" s="5" t="s">
        <v>374</v>
      </c>
      <c r="G393">
        <v>2</v>
      </c>
      <c r="H393" s="11">
        <v>30</v>
      </c>
      <c r="I393" s="11">
        <v>60</v>
      </c>
      <c r="J393" t="s">
        <v>20</v>
      </c>
      <c r="K393" t="s">
        <v>1028</v>
      </c>
      <c r="L393" t="s">
        <v>1038</v>
      </c>
      <c r="M393" t="s">
        <v>1041</v>
      </c>
      <c r="N393">
        <v>5</v>
      </c>
      <c r="O393" t="s">
        <v>1032</v>
      </c>
    </row>
    <row r="394" spans="1:15" x14ac:dyDescent="0.25">
      <c r="A394">
        <v>132</v>
      </c>
      <c r="B394" s="6">
        <v>45179</v>
      </c>
      <c r="C394" s="5" t="s">
        <v>415</v>
      </c>
      <c r="D394" s="5" t="s">
        <v>2</v>
      </c>
      <c r="E394">
        <v>42</v>
      </c>
      <c r="F394" s="5" t="s">
        <v>374</v>
      </c>
      <c r="G394">
        <v>4</v>
      </c>
      <c r="H394" s="11">
        <v>50</v>
      </c>
      <c r="I394" s="11">
        <v>200</v>
      </c>
      <c r="J394" t="s">
        <v>20</v>
      </c>
      <c r="K394" t="s">
        <v>1028</v>
      </c>
      <c r="L394" t="s">
        <v>1038</v>
      </c>
      <c r="M394" t="s">
        <v>1033</v>
      </c>
      <c r="N394">
        <v>9</v>
      </c>
      <c r="O394" t="s">
        <v>1043</v>
      </c>
    </row>
    <row r="395" spans="1:15" x14ac:dyDescent="0.25">
      <c r="A395">
        <v>133</v>
      </c>
      <c r="B395" s="6">
        <v>44973</v>
      </c>
      <c r="C395" s="5" t="s">
        <v>416</v>
      </c>
      <c r="D395" s="5" t="s">
        <v>2</v>
      </c>
      <c r="E395">
        <v>20</v>
      </c>
      <c r="F395" s="5" t="s">
        <v>374</v>
      </c>
      <c r="G395">
        <v>3</v>
      </c>
      <c r="H395" s="11">
        <v>300</v>
      </c>
      <c r="I395" s="11">
        <v>900</v>
      </c>
      <c r="J395" t="s">
        <v>22</v>
      </c>
      <c r="K395" t="s">
        <v>1029</v>
      </c>
      <c r="L395" t="s">
        <v>1038</v>
      </c>
      <c r="M395" t="s">
        <v>1039</v>
      </c>
      <c r="N395">
        <v>2</v>
      </c>
      <c r="O395" t="s">
        <v>1044</v>
      </c>
    </row>
    <row r="396" spans="1:15" x14ac:dyDescent="0.25">
      <c r="A396">
        <v>134</v>
      </c>
      <c r="B396" s="6">
        <v>44951</v>
      </c>
      <c r="C396" s="5" t="s">
        <v>417</v>
      </c>
      <c r="D396" s="5" t="s">
        <v>2</v>
      </c>
      <c r="E396">
        <v>49</v>
      </c>
      <c r="F396" s="5" t="s">
        <v>374</v>
      </c>
      <c r="G396">
        <v>1</v>
      </c>
      <c r="H396" s="11">
        <v>50</v>
      </c>
      <c r="I396" s="11">
        <v>50</v>
      </c>
      <c r="J396" t="s">
        <v>20</v>
      </c>
      <c r="K396" t="s">
        <v>1028</v>
      </c>
      <c r="L396" t="s">
        <v>1038</v>
      </c>
      <c r="M396" t="s">
        <v>1039</v>
      </c>
      <c r="N396">
        <v>1</v>
      </c>
      <c r="O396" t="s">
        <v>1045</v>
      </c>
    </row>
    <row r="397" spans="1:15" x14ac:dyDescent="0.25">
      <c r="A397">
        <v>136</v>
      </c>
      <c r="B397" s="6">
        <v>45005</v>
      </c>
      <c r="C397" s="5" t="s">
        <v>418</v>
      </c>
      <c r="D397" s="5" t="s">
        <v>2</v>
      </c>
      <c r="E397">
        <v>44</v>
      </c>
      <c r="F397" s="5" t="s">
        <v>374</v>
      </c>
      <c r="G397">
        <v>2</v>
      </c>
      <c r="H397" s="11">
        <v>300</v>
      </c>
      <c r="I397" s="11">
        <v>600</v>
      </c>
      <c r="J397" t="s">
        <v>20</v>
      </c>
      <c r="K397" t="s">
        <v>1028</v>
      </c>
      <c r="L397" t="s">
        <v>1038</v>
      </c>
      <c r="M397" t="s">
        <v>1039</v>
      </c>
      <c r="N397">
        <v>3</v>
      </c>
      <c r="O397" t="s">
        <v>1040</v>
      </c>
    </row>
    <row r="398" spans="1:15" x14ac:dyDescent="0.25">
      <c r="A398">
        <v>140</v>
      </c>
      <c r="B398" s="6">
        <v>45143</v>
      </c>
      <c r="C398" s="5" t="s">
        <v>419</v>
      </c>
      <c r="D398" s="5" t="s">
        <v>2</v>
      </c>
      <c r="E398">
        <v>38</v>
      </c>
      <c r="F398" s="5" t="s">
        <v>374</v>
      </c>
      <c r="G398">
        <v>1</v>
      </c>
      <c r="H398" s="11">
        <v>30</v>
      </c>
      <c r="I398" s="11">
        <v>30</v>
      </c>
      <c r="J398" t="s">
        <v>20</v>
      </c>
      <c r="K398" t="s">
        <v>1028</v>
      </c>
      <c r="L398" t="s">
        <v>1038</v>
      </c>
      <c r="M398" t="s">
        <v>1033</v>
      </c>
      <c r="N398">
        <v>8</v>
      </c>
      <c r="O398" t="s">
        <v>1051</v>
      </c>
    </row>
    <row r="399" spans="1:15" x14ac:dyDescent="0.25">
      <c r="A399">
        <v>141</v>
      </c>
      <c r="B399" s="6">
        <v>45232</v>
      </c>
      <c r="C399" s="5" t="s">
        <v>420</v>
      </c>
      <c r="D399" s="5" t="s">
        <v>1</v>
      </c>
      <c r="E399">
        <v>22</v>
      </c>
      <c r="F399" s="5" t="s">
        <v>374</v>
      </c>
      <c r="G399">
        <v>1</v>
      </c>
      <c r="H399" s="11">
        <v>50</v>
      </c>
      <c r="I399" s="11">
        <v>50</v>
      </c>
      <c r="J399" t="s">
        <v>22</v>
      </c>
      <c r="K399" t="s">
        <v>1029</v>
      </c>
      <c r="L399" t="s">
        <v>1038</v>
      </c>
      <c r="M399" t="s">
        <v>1047</v>
      </c>
      <c r="N399">
        <v>11</v>
      </c>
      <c r="O399" t="s">
        <v>1048</v>
      </c>
    </row>
    <row r="400" spans="1:15" x14ac:dyDescent="0.25">
      <c r="A400">
        <v>142</v>
      </c>
      <c r="B400" s="6">
        <v>44959</v>
      </c>
      <c r="C400" s="5" t="s">
        <v>421</v>
      </c>
      <c r="D400" s="5" t="s">
        <v>2</v>
      </c>
      <c r="E400">
        <v>35</v>
      </c>
      <c r="F400" s="5" t="s">
        <v>374</v>
      </c>
      <c r="G400">
        <v>4</v>
      </c>
      <c r="H400" s="11">
        <v>300</v>
      </c>
      <c r="I400" s="11">
        <v>1200</v>
      </c>
      <c r="J400" t="s">
        <v>20</v>
      </c>
      <c r="K400" t="s">
        <v>1028</v>
      </c>
      <c r="L400" t="s">
        <v>1038</v>
      </c>
      <c r="M400" t="s">
        <v>1039</v>
      </c>
      <c r="N400">
        <v>2</v>
      </c>
      <c r="O400" t="s">
        <v>1044</v>
      </c>
    </row>
    <row r="401" spans="1:15" x14ac:dyDescent="0.25">
      <c r="A401">
        <v>147</v>
      </c>
      <c r="B401" s="6">
        <v>45197</v>
      </c>
      <c r="C401" s="5" t="s">
        <v>422</v>
      </c>
      <c r="D401" s="5" t="s">
        <v>2</v>
      </c>
      <c r="E401">
        <v>23</v>
      </c>
      <c r="F401" s="5" t="s">
        <v>374</v>
      </c>
      <c r="G401">
        <v>1</v>
      </c>
      <c r="H401" s="11">
        <v>300</v>
      </c>
      <c r="I401" s="11">
        <v>300</v>
      </c>
      <c r="J401" t="s">
        <v>22</v>
      </c>
      <c r="K401" t="s">
        <v>1029</v>
      </c>
      <c r="L401" t="s">
        <v>1038</v>
      </c>
      <c r="M401" t="s">
        <v>1033</v>
      </c>
      <c r="N401">
        <v>9</v>
      </c>
      <c r="O401" t="s">
        <v>1043</v>
      </c>
    </row>
    <row r="402" spans="1:15" x14ac:dyDescent="0.25">
      <c r="A402">
        <v>150</v>
      </c>
      <c r="B402" s="6">
        <v>44932</v>
      </c>
      <c r="C402" s="5" t="s">
        <v>423</v>
      </c>
      <c r="D402" s="5" t="s">
        <v>1</v>
      </c>
      <c r="E402">
        <v>58</v>
      </c>
      <c r="F402" s="5" t="s">
        <v>374</v>
      </c>
      <c r="G402">
        <v>4</v>
      </c>
      <c r="H402" s="11">
        <v>30</v>
      </c>
      <c r="I402" s="11">
        <v>120</v>
      </c>
      <c r="J402" t="s">
        <v>24</v>
      </c>
      <c r="K402" t="s">
        <v>1030</v>
      </c>
      <c r="L402" t="s">
        <v>1038</v>
      </c>
      <c r="M402" t="s">
        <v>1039</v>
      </c>
      <c r="N402">
        <v>1</v>
      </c>
      <c r="O402" t="s">
        <v>1045</v>
      </c>
    </row>
    <row r="403" spans="1:15" x14ac:dyDescent="0.25">
      <c r="A403">
        <v>152</v>
      </c>
      <c r="B403" s="6">
        <v>44985</v>
      </c>
      <c r="C403" s="5" t="s">
        <v>424</v>
      </c>
      <c r="D403" s="5" t="s">
        <v>2</v>
      </c>
      <c r="E403">
        <v>43</v>
      </c>
      <c r="F403" s="5" t="s">
        <v>374</v>
      </c>
      <c r="G403">
        <v>4</v>
      </c>
      <c r="H403" s="11">
        <v>500</v>
      </c>
      <c r="I403" s="11">
        <v>2000</v>
      </c>
      <c r="J403" t="s">
        <v>20</v>
      </c>
      <c r="K403" t="s">
        <v>1028</v>
      </c>
      <c r="L403" t="s">
        <v>1038</v>
      </c>
      <c r="M403" t="s">
        <v>1039</v>
      </c>
      <c r="N403">
        <v>2</v>
      </c>
      <c r="O403" t="s">
        <v>1044</v>
      </c>
    </row>
    <row r="404" spans="1:15" x14ac:dyDescent="0.25">
      <c r="A404">
        <v>153</v>
      </c>
      <c r="B404" s="6">
        <v>45276</v>
      </c>
      <c r="C404" s="5" t="s">
        <v>425</v>
      </c>
      <c r="D404" s="5" t="s">
        <v>2</v>
      </c>
      <c r="E404">
        <v>63</v>
      </c>
      <c r="F404" s="5" t="s">
        <v>374</v>
      </c>
      <c r="G404">
        <v>2</v>
      </c>
      <c r="H404" s="11">
        <v>500</v>
      </c>
      <c r="I404" s="11">
        <v>1000</v>
      </c>
      <c r="J404" t="s">
        <v>24</v>
      </c>
      <c r="K404" t="s">
        <v>1030</v>
      </c>
      <c r="L404" t="s">
        <v>1038</v>
      </c>
      <c r="M404" t="s">
        <v>1047</v>
      </c>
      <c r="N404">
        <v>12</v>
      </c>
      <c r="O404" t="s">
        <v>1052</v>
      </c>
    </row>
    <row r="405" spans="1:15" x14ac:dyDescent="0.25">
      <c r="A405">
        <v>154</v>
      </c>
      <c r="B405" s="6">
        <v>45201</v>
      </c>
      <c r="C405" s="5" t="s">
        <v>426</v>
      </c>
      <c r="D405" s="5" t="s">
        <v>2</v>
      </c>
      <c r="E405">
        <v>51</v>
      </c>
      <c r="F405" s="5" t="s">
        <v>374</v>
      </c>
      <c r="G405">
        <v>3</v>
      </c>
      <c r="H405" s="11">
        <v>300</v>
      </c>
      <c r="I405" s="11">
        <v>900</v>
      </c>
      <c r="J405" t="s">
        <v>20</v>
      </c>
      <c r="K405" t="s">
        <v>1028</v>
      </c>
      <c r="L405" t="s">
        <v>1038</v>
      </c>
      <c r="M405" t="s">
        <v>1047</v>
      </c>
      <c r="N405">
        <v>10</v>
      </c>
      <c r="O405" t="s">
        <v>1049</v>
      </c>
    </row>
    <row r="406" spans="1:15" x14ac:dyDescent="0.25">
      <c r="A406">
        <v>155</v>
      </c>
      <c r="B406" s="6">
        <v>45063</v>
      </c>
      <c r="C406" s="5" t="s">
        <v>427</v>
      </c>
      <c r="D406" s="5" t="s">
        <v>2</v>
      </c>
      <c r="E406">
        <v>31</v>
      </c>
      <c r="F406" s="5" t="s">
        <v>374</v>
      </c>
      <c r="G406">
        <v>4</v>
      </c>
      <c r="H406" s="11">
        <v>500</v>
      </c>
      <c r="I406" s="11">
        <v>2000</v>
      </c>
      <c r="J406" t="s">
        <v>20</v>
      </c>
      <c r="K406" t="s">
        <v>1028</v>
      </c>
      <c r="L406" t="s">
        <v>1038</v>
      </c>
      <c r="M406" t="s">
        <v>1041</v>
      </c>
      <c r="N406">
        <v>5</v>
      </c>
      <c r="O406" t="s">
        <v>1032</v>
      </c>
    </row>
    <row r="407" spans="1:15" x14ac:dyDescent="0.25">
      <c r="A407">
        <v>157</v>
      </c>
      <c r="B407" s="6">
        <v>45101</v>
      </c>
      <c r="C407" s="5" t="s">
        <v>428</v>
      </c>
      <c r="D407" s="5" t="s">
        <v>2</v>
      </c>
      <c r="E407">
        <v>62</v>
      </c>
      <c r="F407" s="5" t="s">
        <v>374</v>
      </c>
      <c r="G407">
        <v>4</v>
      </c>
      <c r="H407" s="11">
        <v>500</v>
      </c>
      <c r="I407" s="11">
        <v>2000</v>
      </c>
      <c r="J407" t="s">
        <v>24</v>
      </c>
      <c r="K407" t="s">
        <v>1030</v>
      </c>
      <c r="L407" t="s">
        <v>1038</v>
      </c>
      <c r="M407" t="s">
        <v>1041</v>
      </c>
      <c r="N407">
        <v>6</v>
      </c>
      <c r="O407" t="s">
        <v>1050</v>
      </c>
    </row>
    <row r="408" spans="1:15" x14ac:dyDescent="0.25">
      <c r="A408">
        <v>158</v>
      </c>
      <c r="B408" s="6">
        <v>44984</v>
      </c>
      <c r="C408" s="5" t="s">
        <v>429</v>
      </c>
      <c r="D408" s="5" t="s">
        <v>1</v>
      </c>
      <c r="E408">
        <v>44</v>
      </c>
      <c r="F408" s="5" t="s">
        <v>374</v>
      </c>
      <c r="G408">
        <v>2</v>
      </c>
      <c r="H408" s="11">
        <v>300</v>
      </c>
      <c r="I408" s="11">
        <v>600</v>
      </c>
      <c r="J408" t="s">
        <v>20</v>
      </c>
      <c r="K408" t="s">
        <v>1028</v>
      </c>
      <c r="L408" t="s">
        <v>1038</v>
      </c>
      <c r="M408" t="s">
        <v>1039</v>
      </c>
      <c r="N408">
        <v>2</v>
      </c>
      <c r="O408" t="s">
        <v>1044</v>
      </c>
    </row>
    <row r="409" spans="1:15" x14ac:dyDescent="0.25">
      <c r="A409">
        <v>173</v>
      </c>
      <c r="B409" s="6">
        <v>45238</v>
      </c>
      <c r="C409" s="5" t="s">
        <v>430</v>
      </c>
      <c r="D409" s="5" t="s">
        <v>2</v>
      </c>
      <c r="E409">
        <v>64</v>
      </c>
      <c r="F409" s="5" t="s">
        <v>374</v>
      </c>
      <c r="G409">
        <v>4</v>
      </c>
      <c r="H409" s="11">
        <v>30</v>
      </c>
      <c r="I409" s="11">
        <v>120</v>
      </c>
      <c r="J409" t="s">
        <v>24</v>
      </c>
      <c r="K409" t="s">
        <v>1030</v>
      </c>
      <c r="L409" t="s">
        <v>1038</v>
      </c>
      <c r="M409" t="s">
        <v>1047</v>
      </c>
      <c r="N409">
        <v>11</v>
      </c>
      <c r="O409" t="s">
        <v>1048</v>
      </c>
    </row>
    <row r="410" spans="1:15" x14ac:dyDescent="0.25">
      <c r="A410">
        <v>175</v>
      </c>
      <c r="B410" s="6">
        <v>45005</v>
      </c>
      <c r="C410" s="5" t="s">
        <v>431</v>
      </c>
      <c r="D410" s="5" t="s">
        <v>1</v>
      </c>
      <c r="E410">
        <v>31</v>
      </c>
      <c r="F410" s="5" t="s">
        <v>374</v>
      </c>
      <c r="G410">
        <v>4</v>
      </c>
      <c r="H410" s="11">
        <v>25</v>
      </c>
      <c r="I410" s="11">
        <v>100</v>
      </c>
      <c r="J410" t="s">
        <v>20</v>
      </c>
      <c r="K410" t="s">
        <v>1028</v>
      </c>
      <c r="L410" t="s">
        <v>1038</v>
      </c>
      <c r="M410" t="s">
        <v>1039</v>
      </c>
      <c r="N410">
        <v>3</v>
      </c>
      <c r="O410" t="s">
        <v>1040</v>
      </c>
    </row>
    <row r="411" spans="1:15" x14ac:dyDescent="0.25">
      <c r="A411">
        <v>179</v>
      </c>
      <c r="B411" s="6">
        <v>45198</v>
      </c>
      <c r="C411" s="5" t="s">
        <v>432</v>
      </c>
      <c r="D411" s="5" t="s">
        <v>2</v>
      </c>
      <c r="E411">
        <v>31</v>
      </c>
      <c r="F411" s="5" t="s">
        <v>374</v>
      </c>
      <c r="G411">
        <v>1</v>
      </c>
      <c r="H411" s="11">
        <v>300</v>
      </c>
      <c r="I411" s="11">
        <v>300</v>
      </c>
      <c r="J411" t="s">
        <v>20</v>
      </c>
      <c r="K411" t="s">
        <v>1028</v>
      </c>
      <c r="L411" t="s">
        <v>1038</v>
      </c>
      <c r="M411" t="s">
        <v>1033</v>
      </c>
      <c r="N411">
        <v>9</v>
      </c>
      <c r="O411" t="s">
        <v>1043</v>
      </c>
    </row>
    <row r="412" spans="1:15" x14ac:dyDescent="0.25">
      <c r="A412">
        <v>181</v>
      </c>
      <c r="B412" s="6">
        <v>45233</v>
      </c>
      <c r="C412" s="5" t="s">
        <v>433</v>
      </c>
      <c r="D412" s="5" t="s">
        <v>2</v>
      </c>
      <c r="E412">
        <v>19</v>
      </c>
      <c r="F412" s="5" t="s">
        <v>374</v>
      </c>
      <c r="G412">
        <v>4</v>
      </c>
      <c r="H412" s="11">
        <v>300</v>
      </c>
      <c r="I412" s="11">
        <v>1200</v>
      </c>
      <c r="J412" t="s">
        <v>22</v>
      </c>
      <c r="K412" t="s">
        <v>1029</v>
      </c>
      <c r="L412" t="s">
        <v>1038</v>
      </c>
      <c r="M412" t="s">
        <v>1047</v>
      </c>
      <c r="N412">
        <v>11</v>
      </c>
      <c r="O412" t="s">
        <v>1048</v>
      </c>
    </row>
    <row r="413" spans="1:15" x14ac:dyDescent="0.25">
      <c r="A413">
        <v>184</v>
      </c>
      <c r="B413" s="6">
        <v>44936</v>
      </c>
      <c r="C413" s="5" t="s">
        <v>434</v>
      </c>
      <c r="D413" s="5" t="s">
        <v>2</v>
      </c>
      <c r="E413">
        <v>31</v>
      </c>
      <c r="F413" s="5" t="s">
        <v>374</v>
      </c>
      <c r="G413">
        <v>4</v>
      </c>
      <c r="H413" s="11">
        <v>50</v>
      </c>
      <c r="I413" s="11">
        <v>200</v>
      </c>
      <c r="J413" t="s">
        <v>20</v>
      </c>
      <c r="K413" t="s">
        <v>1028</v>
      </c>
      <c r="L413" t="s">
        <v>1038</v>
      </c>
      <c r="M413" t="s">
        <v>1039</v>
      </c>
      <c r="N413">
        <v>1</v>
      </c>
      <c r="O413" t="s">
        <v>1045</v>
      </c>
    </row>
    <row r="414" spans="1:15" x14ac:dyDescent="0.25">
      <c r="A414">
        <v>201</v>
      </c>
      <c r="B414" s="6">
        <v>45208</v>
      </c>
      <c r="C414" s="5" t="s">
        <v>435</v>
      </c>
      <c r="D414" s="5" t="s">
        <v>2</v>
      </c>
      <c r="E414">
        <v>56</v>
      </c>
      <c r="F414" s="5" t="s">
        <v>374</v>
      </c>
      <c r="G414">
        <v>1</v>
      </c>
      <c r="H414" s="11">
        <v>25</v>
      </c>
      <c r="I414" s="11">
        <v>25</v>
      </c>
      <c r="J414" t="s">
        <v>24</v>
      </c>
      <c r="K414" t="s">
        <v>1030</v>
      </c>
      <c r="L414" t="s">
        <v>1038</v>
      </c>
      <c r="M414" t="s">
        <v>1047</v>
      </c>
      <c r="N414">
        <v>10</v>
      </c>
      <c r="O414" t="s">
        <v>1049</v>
      </c>
    </row>
    <row r="415" spans="1:15" x14ac:dyDescent="0.25">
      <c r="A415">
        <v>208</v>
      </c>
      <c r="B415" s="6">
        <v>45203</v>
      </c>
      <c r="C415" s="5" t="s">
        <v>436</v>
      </c>
      <c r="D415" s="5" t="s">
        <v>1</v>
      </c>
      <c r="E415">
        <v>34</v>
      </c>
      <c r="F415" s="5" t="s">
        <v>374</v>
      </c>
      <c r="G415">
        <v>4</v>
      </c>
      <c r="H415" s="11">
        <v>50</v>
      </c>
      <c r="I415" s="11">
        <v>200</v>
      </c>
      <c r="J415" t="s">
        <v>20</v>
      </c>
      <c r="K415" t="s">
        <v>1028</v>
      </c>
      <c r="L415" t="s">
        <v>1038</v>
      </c>
      <c r="M415" t="s">
        <v>1047</v>
      </c>
      <c r="N415">
        <v>10</v>
      </c>
      <c r="O415" t="s">
        <v>1049</v>
      </c>
    </row>
    <row r="416" spans="1:15" x14ac:dyDescent="0.25">
      <c r="A416">
        <v>209</v>
      </c>
      <c r="B416" s="6">
        <v>45280</v>
      </c>
      <c r="C416" s="5" t="s">
        <v>437</v>
      </c>
      <c r="D416" s="5" t="s">
        <v>1</v>
      </c>
      <c r="E416">
        <v>30</v>
      </c>
      <c r="F416" s="5" t="s">
        <v>374</v>
      </c>
      <c r="G416">
        <v>4</v>
      </c>
      <c r="H416" s="11">
        <v>50</v>
      </c>
      <c r="I416" s="11">
        <v>200</v>
      </c>
      <c r="J416" t="s">
        <v>20</v>
      </c>
      <c r="K416" t="s">
        <v>1028</v>
      </c>
      <c r="L416" t="s">
        <v>1038</v>
      </c>
      <c r="M416" t="s">
        <v>1047</v>
      </c>
      <c r="N416">
        <v>12</v>
      </c>
      <c r="O416" t="s">
        <v>1052</v>
      </c>
    </row>
    <row r="417" spans="1:15" x14ac:dyDescent="0.25">
      <c r="A417">
        <v>210</v>
      </c>
      <c r="B417" s="6">
        <v>45029</v>
      </c>
      <c r="C417" s="5" t="s">
        <v>438</v>
      </c>
      <c r="D417" s="5" t="s">
        <v>2</v>
      </c>
      <c r="E417">
        <v>37</v>
      </c>
      <c r="F417" s="5" t="s">
        <v>374</v>
      </c>
      <c r="G417">
        <v>4</v>
      </c>
      <c r="H417" s="11">
        <v>50</v>
      </c>
      <c r="I417" s="11">
        <v>200</v>
      </c>
      <c r="J417" t="s">
        <v>20</v>
      </c>
      <c r="K417" t="s">
        <v>1028</v>
      </c>
      <c r="L417" t="s">
        <v>1038</v>
      </c>
      <c r="M417" t="s">
        <v>1041</v>
      </c>
      <c r="N417">
        <v>4</v>
      </c>
      <c r="O417" t="s">
        <v>1042</v>
      </c>
    </row>
    <row r="418" spans="1:15" x14ac:dyDescent="0.25">
      <c r="A418">
        <v>216</v>
      </c>
      <c r="B418" s="6">
        <v>45118</v>
      </c>
      <c r="C418" s="5" t="s">
        <v>439</v>
      </c>
      <c r="D418" s="5" t="s">
        <v>2</v>
      </c>
      <c r="E418">
        <v>62</v>
      </c>
      <c r="F418" s="5" t="s">
        <v>374</v>
      </c>
      <c r="G418">
        <v>2</v>
      </c>
      <c r="H418" s="11">
        <v>50</v>
      </c>
      <c r="I418" s="11">
        <v>100</v>
      </c>
      <c r="J418" t="s">
        <v>24</v>
      </c>
      <c r="K418" t="s">
        <v>1030</v>
      </c>
      <c r="L418" t="s">
        <v>1038</v>
      </c>
      <c r="M418" t="s">
        <v>1033</v>
      </c>
      <c r="N418">
        <v>7</v>
      </c>
      <c r="O418" t="s">
        <v>1046</v>
      </c>
    </row>
    <row r="419" spans="1:15" x14ac:dyDescent="0.25">
      <c r="A419">
        <v>217</v>
      </c>
      <c r="B419" s="6">
        <v>45151</v>
      </c>
      <c r="C419" s="5" t="s">
        <v>440</v>
      </c>
      <c r="D419" s="5" t="s">
        <v>1</v>
      </c>
      <c r="E419">
        <v>35</v>
      </c>
      <c r="F419" s="5" t="s">
        <v>374</v>
      </c>
      <c r="G419">
        <v>4</v>
      </c>
      <c r="H419" s="11">
        <v>50</v>
      </c>
      <c r="I419" s="11">
        <v>200</v>
      </c>
      <c r="J419" t="s">
        <v>20</v>
      </c>
      <c r="K419" t="s">
        <v>1028</v>
      </c>
      <c r="L419" t="s">
        <v>1038</v>
      </c>
      <c r="M419" t="s">
        <v>1033</v>
      </c>
      <c r="N419">
        <v>8</v>
      </c>
      <c r="O419" t="s">
        <v>1051</v>
      </c>
    </row>
    <row r="420" spans="1:15" x14ac:dyDescent="0.25">
      <c r="A420">
        <v>219</v>
      </c>
      <c r="B420" s="6">
        <v>45158</v>
      </c>
      <c r="C420" s="5" t="s">
        <v>441</v>
      </c>
      <c r="D420" s="5" t="s">
        <v>1</v>
      </c>
      <c r="E420">
        <v>53</v>
      </c>
      <c r="F420" s="5" t="s">
        <v>374</v>
      </c>
      <c r="G420">
        <v>3</v>
      </c>
      <c r="H420" s="11">
        <v>30</v>
      </c>
      <c r="I420" s="11">
        <v>90</v>
      </c>
      <c r="J420" t="s">
        <v>20</v>
      </c>
      <c r="K420" t="s">
        <v>1028</v>
      </c>
      <c r="L420" t="s">
        <v>1038</v>
      </c>
      <c r="M420" t="s">
        <v>1033</v>
      </c>
      <c r="N420">
        <v>8</v>
      </c>
      <c r="O420" t="s">
        <v>1051</v>
      </c>
    </row>
    <row r="421" spans="1:15" x14ac:dyDescent="0.25">
      <c r="A421">
        <v>227</v>
      </c>
      <c r="B421" s="6">
        <v>45210</v>
      </c>
      <c r="C421" s="5" t="s">
        <v>442</v>
      </c>
      <c r="D421" s="5" t="s">
        <v>2</v>
      </c>
      <c r="E421">
        <v>36</v>
      </c>
      <c r="F421" s="5" t="s">
        <v>374</v>
      </c>
      <c r="G421">
        <v>2</v>
      </c>
      <c r="H421" s="11">
        <v>50</v>
      </c>
      <c r="I421" s="11">
        <v>100</v>
      </c>
      <c r="J421" t="s">
        <v>20</v>
      </c>
      <c r="K421" t="s">
        <v>1028</v>
      </c>
      <c r="L421" t="s">
        <v>1038</v>
      </c>
      <c r="M421" t="s">
        <v>1047</v>
      </c>
      <c r="N421">
        <v>10</v>
      </c>
      <c r="O421" t="s">
        <v>1049</v>
      </c>
    </row>
    <row r="422" spans="1:15" x14ac:dyDescent="0.25">
      <c r="A422">
        <v>228</v>
      </c>
      <c r="B422" s="6">
        <v>45044</v>
      </c>
      <c r="C422" s="5" t="s">
        <v>443</v>
      </c>
      <c r="D422" s="5" t="s">
        <v>1</v>
      </c>
      <c r="E422">
        <v>59</v>
      </c>
      <c r="F422" s="5" t="s">
        <v>374</v>
      </c>
      <c r="G422">
        <v>2</v>
      </c>
      <c r="H422" s="11">
        <v>30</v>
      </c>
      <c r="I422" s="11">
        <v>60</v>
      </c>
      <c r="J422" t="s">
        <v>24</v>
      </c>
      <c r="K422" t="s">
        <v>1030</v>
      </c>
      <c r="L422" t="s">
        <v>1038</v>
      </c>
      <c r="M422" t="s">
        <v>1041</v>
      </c>
      <c r="N422">
        <v>4</v>
      </c>
      <c r="O422" t="s">
        <v>1042</v>
      </c>
    </row>
    <row r="423" spans="1:15" x14ac:dyDescent="0.25">
      <c r="A423">
        <v>234</v>
      </c>
      <c r="B423" s="6">
        <v>45250</v>
      </c>
      <c r="C423" s="5" t="s">
        <v>444</v>
      </c>
      <c r="D423" s="5" t="s">
        <v>1</v>
      </c>
      <c r="E423">
        <v>62</v>
      </c>
      <c r="F423" s="5" t="s">
        <v>374</v>
      </c>
      <c r="G423">
        <v>2</v>
      </c>
      <c r="H423" s="11">
        <v>25</v>
      </c>
      <c r="I423" s="11">
        <v>50</v>
      </c>
      <c r="J423" t="s">
        <v>24</v>
      </c>
      <c r="K423" t="s">
        <v>1030</v>
      </c>
      <c r="L423" t="s">
        <v>1038</v>
      </c>
      <c r="M423" t="s">
        <v>1047</v>
      </c>
      <c r="N423">
        <v>11</v>
      </c>
      <c r="O423" t="s">
        <v>1048</v>
      </c>
    </row>
    <row r="424" spans="1:15" x14ac:dyDescent="0.25">
      <c r="A424">
        <v>235</v>
      </c>
      <c r="B424" s="6">
        <v>44957</v>
      </c>
      <c r="C424" s="5" t="s">
        <v>445</v>
      </c>
      <c r="D424" s="5" t="s">
        <v>1</v>
      </c>
      <c r="E424">
        <v>23</v>
      </c>
      <c r="F424" s="5" t="s">
        <v>374</v>
      </c>
      <c r="G424">
        <v>2</v>
      </c>
      <c r="H424" s="11">
        <v>500</v>
      </c>
      <c r="I424" s="11">
        <v>1000</v>
      </c>
      <c r="J424" t="s">
        <v>22</v>
      </c>
      <c r="K424" t="s">
        <v>1029</v>
      </c>
      <c r="L424" t="s">
        <v>1038</v>
      </c>
      <c r="M424" t="s">
        <v>1039</v>
      </c>
      <c r="N424">
        <v>1</v>
      </c>
      <c r="O424" t="s">
        <v>1045</v>
      </c>
    </row>
    <row r="425" spans="1:15" x14ac:dyDescent="0.25">
      <c r="A425">
        <v>239</v>
      </c>
      <c r="B425" s="6">
        <v>45096</v>
      </c>
      <c r="C425" s="5" t="s">
        <v>446</v>
      </c>
      <c r="D425" s="5" t="s">
        <v>2</v>
      </c>
      <c r="E425">
        <v>38</v>
      </c>
      <c r="F425" s="5" t="s">
        <v>374</v>
      </c>
      <c r="G425">
        <v>3</v>
      </c>
      <c r="H425" s="11">
        <v>500</v>
      </c>
      <c r="I425" s="11">
        <v>1500</v>
      </c>
      <c r="J425" t="s">
        <v>20</v>
      </c>
      <c r="K425" t="s">
        <v>1028</v>
      </c>
      <c r="L425" t="s">
        <v>1038</v>
      </c>
      <c r="M425" t="s">
        <v>1041</v>
      </c>
      <c r="N425">
        <v>6</v>
      </c>
      <c r="O425" t="s">
        <v>1050</v>
      </c>
    </row>
    <row r="426" spans="1:15" x14ac:dyDescent="0.25">
      <c r="A426">
        <v>241</v>
      </c>
      <c r="B426" s="6">
        <v>45190</v>
      </c>
      <c r="C426" s="5" t="s">
        <v>447</v>
      </c>
      <c r="D426" s="5" t="s">
        <v>1</v>
      </c>
      <c r="E426">
        <v>23</v>
      </c>
      <c r="F426" s="5" t="s">
        <v>374</v>
      </c>
      <c r="G426">
        <v>3</v>
      </c>
      <c r="H426" s="11">
        <v>25</v>
      </c>
      <c r="I426" s="11">
        <v>75</v>
      </c>
      <c r="J426" t="s">
        <v>22</v>
      </c>
      <c r="K426" t="s">
        <v>1029</v>
      </c>
      <c r="L426" t="s">
        <v>1038</v>
      </c>
      <c r="M426" t="s">
        <v>1033</v>
      </c>
      <c r="N426">
        <v>9</v>
      </c>
      <c r="O426" t="s">
        <v>1043</v>
      </c>
    </row>
    <row r="427" spans="1:15" x14ac:dyDescent="0.25">
      <c r="A427">
        <v>243</v>
      </c>
      <c r="B427" s="6">
        <v>45069</v>
      </c>
      <c r="C427" s="5" t="s">
        <v>448</v>
      </c>
      <c r="D427" s="5" t="s">
        <v>1</v>
      </c>
      <c r="E427">
        <v>47</v>
      </c>
      <c r="F427" s="5" t="s">
        <v>374</v>
      </c>
      <c r="G427">
        <v>3</v>
      </c>
      <c r="H427" s="11">
        <v>300</v>
      </c>
      <c r="I427" s="11">
        <v>900</v>
      </c>
      <c r="J427" t="s">
        <v>20</v>
      </c>
      <c r="K427" t="s">
        <v>1028</v>
      </c>
      <c r="L427" t="s">
        <v>1038</v>
      </c>
      <c r="M427" t="s">
        <v>1041</v>
      </c>
      <c r="N427">
        <v>5</v>
      </c>
      <c r="O427" t="s">
        <v>1032</v>
      </c>
    </row>
    <row r="428" spans="1:15" x14ac:dyDescent="0.25">
      <c r="A428">
        <v>246</v>
      </c>
      <c r="B428" s="6">
        <v>45036</v>
      </c>
      <c r="C428" s="5" t="s">
        <v>449</v>
      </c>
      <c r="D428" s="5" t="s">
        <v>1</v>
      </c>
      <c r="E428">
        <v>48</v>
      </c>
      <c r="F428" s="5" t="s">
        <v>374</v>
      </c>
      <c r="G428">
        <v>2</v>
      </c>
      <c r="H428" s="11">
        <v>25</v>
      </c>
      <c r="I428" s="11">
        <v>50</v>
      </c>
      <c r="J428" t="s">
        <v>20</v>
      </c>
      <c r="K428" t="s">
        <v>1028</v>
      </c>
      <c r="L428" t="s">
        <v>1038</v>
      </c>
      <c r="M428" t="s">
        <v>1041</v>
      </c>
      <c r="N428">
        <v>4</v>
      </c>
      <c r="O428" t="s">
        <v>1042</v>
      </c>
    </row>
    <row r="429" spans="1:15" x14ac:dyDescent="0.25">
      <c r="A429">
        <v>247</v>
      </c>
      <c r="B429" s="6">
        <v>45203</v>
      </c>
      <c r="C429" s="5" t="s">
        <v>450</v>
      </c>
      <c r="D429" s="5" t="s">
        <v>2</v>
      </c>
      <c r="E429">
        <v>41</v>
      </c>
      <c r="F429" s="5" t="s">
        <v>374</v>
      </c>
      <c r="G429">
        <v>2</v>
      </c>
      <c r="H429" s="11">
        <v>30</v>
      </c>
      <c r="I429" s="11">
        <v>60</v>
      </c>
      <c r="J429" t="s">
        <v>20</v>
      </c>
      <c r="K429" t="s">
        <v>1028</v>
      </c>
      <c r="L429" t="s">
        <v>1038</v>
      </c>
      <c r="M429" t="s">
        <v>1047</v>
      </c>
      <c r="N429">
        <v>10</v>
      </c>
      <c r="O429" t="s">
        <v>1049</v>
      </c>
    </row>
    <row r="430" spans="1:15" x14ac:dyDescent="0.25">
      <c r="A430">
        <v>250</v>
      </c>
      <c r="B430" s="6">
        <v>45222</v>
      </c>
      <c r="C430" s="5" t="s">
        <v>451</v>
      </c>
      <c r="D430" s="5" t="s">
        <v>2</v>
      </c>
      <c r="E430">
        <v>48</v>
      </c>
      <c r="F430" s="5" t="s">
        <v>374</v>
      </c>
      <c r="G430">
        <v>1</v>
      </c>
      <c r="H430" s="11">
        <v>50</v>
      </c>
      <c r="I430" s="11">
        <v>50</v>
      </c>
      <c r="J430" t="s">
        <v>20</v>
      </c>
      <c r="K430" t="s">
        <v>1028</v>
      </c>
      <c r="L430" t="s">
        <v>1038</v>
      </c>
      <c r="M430" t="s">
        <v>1047</v>
      </c>
      <c r="N430">
        <v>10</v>
      </c>
      <c r="O430" t="s">
        <v>1049</v>
      </c>
    </row>
    <row r="431" spans="1:15" x14ac:dyDescent="0.25">
      <c r="A431">
        <v>252</v>
      </c>
      <c r="B431" s="6">
        <v>45051</v>
      </c>
      <c r="C431" s="5" t="s">
        <v>452</v>
      </c>
      <c r="D431" s="5" t="s">
        <v>2</v>
      </c>
      <c r="E431">
        <v>54</v>
      </c>
      <c r="F431" s="5" t="s">
        <v>374</v>
      </c>
      <c r="G431">
        <v>1</v>
      </c>
      <c r="H431" s="11">
        <v>300</v>
      </c>
      <c r="I431" s="11">
        <v>300</v>
      </c>
      <c r="J431" t="s">
        <v>20</v>
      </c>
      <c r="K431" t="s">
        <v>1028</v>
      </c>
      <c r="L431" t="s">
        <v>1038</v>
      </c>
      <c r="M431" t="s">
        <v>1041</v>
      </c>
      <c r="N431">
        <v>5</v>
      </c>
      <c r="O431" t="s">
        <v>1032</v>
      </c>
    </row>
    <row r="432" spans="1:15" x14ac:dyDescent="0.25">
      <c r="A432">
        <v>254</v>
      </c>
      <c r="B432" s="6">
        <v>45135</v>
      </c>
      <c r="C432" s="5" t="s">
        <v>453</v>
      </c>
      <c r="D432" s="5" t="s">
        <v>2</v>
      </c>
      <c r="E432">
        <v>41</v>
      </c>
      <c r="F432" s="5" t="s">
        <v>374</v>
      </c>
      <c r="G432">
        <v>1</v>
      </c>
      <c r="H432" s="11">
        <v>500</v>
      </c>
      <c r="I432" s="11">
        <v>500</v>
      </c>
      <c r="J432" t="s">
        <v>20</v>
      </c>
      <c r="K432" t="s">
        <v>1028</v>
      </c>
      <c r="L432" t="s">
        <v>1038</v>
      </c>
      <c r="M432" t="s">
        <v>1033</v>
      </c>
      <c r="N432">
        <v>7</v>
      </c>
      <c r="O432" t="s">
        <v>1046</v>
      </c>
    </row>
    <row r="433" spans="1:15" x14ac:dyDescent="0.25">
      <c r="A433">
        <v>266</v>
      </c>
      <c r="B433" s="6">
        <v>45261</v>
      </c>
      <c r="C433" s="5" t="s">
        <v>454</v>
      </c>
      <c r="D433" s="5" t="s">
        <v>1</v>
      </c>
      <c r="E433">
        <v>19</v>
      </c>
      <c r="F433" s="5" t="s">
        <v>374</v>
      </c>
      <c r="G433">
        <v>2</v>
      </c>
      <c r="H433" s="11">
        <v>30</v>
      </c>
      <c r="I433" s="11">
        <v>60</v>
      </c>
      <c r="J433" t="s">
        <v>22</v>
      </c>
      <c r="K433" t="s">
        <v>1029</v>
      </c>
      <c r="L433" t="s">
        <v>1038</v>
      </c>
      <c r="M433" t="s">
        <v>1047</v>
      </c>
      <c r="N433">
        <v>12</v>
      </c>
      <c r="O433" t="s">
        <v>1052</v>
      </c>
    </row>
    <row r="434" spans="1:15" x14ac:dyDescent="0.25">
      <c r="A434">
        <v>268</v>
      </c>
      <c r="B434" s="6">
        <v>44977</v>
      </c>
      <c r="C434" s="5" t="s">
        <v>455</v>
      </c>
      <c r="D434" s="5" t="s">
        <v>1</v>
      </c>
      <c r="E434">
        <v>28</v>
      </c>
      <c r="F434" s="5" t="s">
        <v>374</v>
      </c>
      <c r="G434">
        <v>1</v>
      </c>
      <c r="H434" s="11">
        <v>30</v>
      </c>
      <c r="I434" s="11">
        <v>30</v>
      </c>
      <c r="J434" t="s">
        <v>22</v>
      </c>
      <c r="K434" t="s">
        <v>1029</v>
      </c>
      <c r="L434" t="s">
        <v>1038</v>
      </c>
      <c r="M434" t="s">
        <v>1039</v>
      </c>
      <c r="N434">
        <v>2</v>
      </c>
      <c r="O434" t="s">
        <v>1044</v>
      </c>
    </row>
    <row r="435" spans="1:15" x14ac:dyDescent="0.25">
      <c r="A435">
        <v>270</v>
      </c>
      <c r="B435" s="6">
        <v>45133</v>
      </c>
      <c r="C435" s="5" t="s">
        <v>456</v>
      </c>
      <c r="D435" s="5" t="s">
        <v>2</v>
      </c>
      <c r="E435">
        <v>43</v>
      </c>
      <c r="F435" s="5" t="s">
        <v>374</v>
      </c>
      <c r="G435">
        <v>1</v>
      </c>
      <c r="H435" s="11">
        <v>300</v>
      </c>
      <c r="I435" s="11">
        <v>300</v>
      </c>
      <c r="J435" t="s">
        <v>20</v>
      </c>
      <c r="K435" t="s">
        <v>1028</v>
      </c>
      <c r="L435" t="s">
        <v>1038</v>
      </c>
      <c r="M435" t="s">
        <v>1033</v>
      </c>
      <c r="N435">
        <v>7</v>
      </c>
      <c r="O435" t="s">
        <v>1046</v>
      </c>
    </row>
    <row r="436" spans="1:15" x14ac:dyDescent="0.25">
      <c r="A436">
        <v>272</v>
      </c>
      <c r="B436" s="6">
        <v>44982</v>
      </c>
      <c r="C436" s="5" t="s">
        <v>457</v>
      </c>
      <c r="D436" s="5" t="s">
        <v>1</v>
      </c>
      <c r="E436">
        <v>61</v>
      </c>
      <c r="F436" s="5" t="s">
        <v>374</v>
      </c>
      <c r="G436">
        <v>2</v>
      </c>
      <c r="H436" s="11">
        <v>50</v>
      </c>
      <c r="I436" s="11">
        <v>100</v>
      </c>
      <c r="J436" t="s">
        <v>24</v>
      </c>
      <c r="K436" t="s">
        <v>1030</v>
      </c>
      <c r="L436" t="s">
        <v>1038</v>
      </c>
      <c r="M436" t="s">
        <v>1039</v>
      </c>
      <c r="N436">
        <v>2</v>
      </c>
      <c r="O436" t="s">
        <v>1044</v>
      </c>
    </row>
    <row r="437" spans="1:15" x14ac:dyDescent="0.25">
      <c r="A437">
        <v>282</v>
      </c>
      <c r="B437" s="6">
        <v>45163</v>
      </c>
      <c r="C437" s="5" t="s">
        <v>458</v>
      </c>
      <c r="D437" s="5" t="s">
        <v>1</v>
      </c>
      <c r="E437">
        <v>64</v>
      </c>
      <c r="F437" s="5" t="s">
        <v>374</v>
      </c>
      <c r="G437">
        <v>4</v>
      </c>
      <c r="H437" s="11">
        <v>50</v>
      </c>
      <c r="I437" s="11">
        <v>200</v>
      </c>
      <c r="J437" t="s">
        <v>24</v>
      </c>
      <c r="K437" t="s">
        <v>1030</v>
      </c>
      <c r="L437" t="s">
        <v>1038</v>
      </c>
      <c r="M437" t="s">
        <v>1033</v>
      </c>
      <c r="N437">
        <v>8</v>
      </c>
      <c r="O437" t="s">
        <v>1051</v>
      </c>
    </row>
    <row r="438" spans="1:15" x14ac:dyDescent="0.25">
      <c r="A438">
        <v>283</v>
      </c>
      <c r="B438" s="6">
        <v>45054</v>
      </c>
      <c r="C438" s="5" t="s">
        <v>459</v>
      </c>
      <c r="D438" s="5" t="s">
        <v>1</v>
      </c>
      <c r="E438">
        <v>18</v>
      </c>
      <c r="F438" s="5" t="s">
        <v>374</v>
      </c>
      <c r="G438">
        <v>1</v>
      </c>
      <c r="H438" s="11">
        <v>500</v>
      </c>
      <c r="I438" s="11">
        <v>500</v>
      </c>
      <c r="J438" t="s">
        <v>22</v>
      </c>
      <c r="K438" t="s">
        <v>1029</v>
      </c>
      <c r="L438" t="s">
        <v>1038</v>
      </c>
      <c r="M438" t="s">
        <v>1041</v>
      </c>
      <c r="N438">
        <v>5</v>
      </c>
      <c r="O438" t="s">
        <v>1032</v>
      </c>
    </row>
    <row r="439" spans="1:15" x14ac:dyDescent="0.25">
      <c r="A439">
        <v>285</v>
      </c>
      <c r="B439" s="6">
        <v>45153</v>
      </c>
      <c r="C439" s="5" t="s">
        <v>460</v>
      </c>
      <c r="D439" s="5" t="s">
        <v>1</v>
      </c>
      <c r="E439">
        <v>31</v>
      </c>
      <c r="F439" s="5" t="s">
        <v>374</v>
      </c>
      <c r="G439">
        <v>1</v>
      </c>
      <c r="H439" s="11">
        <v>25</v>
      </c>
      <c r="I439" s="11">
        <v>25</v>
      </c>
      <c r="J439" t="s">
        <v>20</v>
      </c>
      <c r="K439" t="s">
        <v>1028</v>
      </c>
      <c r="L439" t="s">
        <v>1038</v>
      </c>
      <c r="M439" t="s">
        <v>1033</v>
      </c>
      <c r="N439">
        <v>8</v>
      </c>
      <c r="O439" t="s">
        <v>1051</v>
      </c>
    </row>
    <row r="440" spans="1:15" x14ac:dyDescent="0.25">
      <c r="A440">
        <v>286</v>
      </c>
      <c r="B440" s="6">
        <v>45208</v>
      </c>
      <c r="C440" s="5" t="s">
        <v>461</v>
      </c>
      <c r="D440" s="5" t="s">
        <v>2</v>
      </c>
      <c r="E440">
        <v>55</v>
      </c>
      <c r="F440" s="5" t="s">
        <v>374</v>
      </c>
      <c r="G440">
        <v>2</v>
      </c>
      <c r="H440" s="11">
        <v>25</v>
      </c>
      <c r="I440" s="11">
        <v>50</v>
      </c>
      <c r="J440" t="s">
        <v>20</v>
      </c>
      <c r="K440" t="s">
        <v>1028</v>
      </c>
      <c r="L440" t="s">
        <v>1038</v>
      </c>
      <c r="M440" t="s">
        <v>1047</v>
      </c>
      <c r="N440">
        <v>10</v>
      </c>
      <c r="O440" t="s">
        <v>1049</v>
      </c>
    </row>
    <row r="441" spans="1:15" x14ac:dyDescent="0.25">
      <c r="A441">
        <v>289</v>
      </c>
      <c r="B441" s="6">
        <v>45260</v>
      </c>
      <c r="C441" s="5" t="s">
        <v>462</v>
      </c>
      <c r="D441" s="5" t="s">
        <v>2</v>
      </c>
      <c r="E441">
        <v>53</v>
      </c>
      <c r="F441" s="5" t="s">
        <v>374</v>
      </c>
      <c r="G441">
        <v>2</v>
      </c>
      <c r="H441" s="11">
        <v>30</v>
      </c>
      <c r="I441" s="11">
        <v>60</v>
      </c>
      <c r="J441" t="s">
        <v>20</v>
      </c>
      <c r="K441" t="s">
        <v>1028</v>
      </c>
      <c r="L441" t="s">
        <v>1038</v>
      </c>
      <c r="M441" t="s">
        <v>1047</v>
      </c>
      <c r="N441">
        <v>11</v>
      </c>
      <c r="O441" t="s">
        <v>1048</v>
      </c>
    </row>
    <row r="442" spans="1:15" x14ac:dyDescent="0.25">
      <c r="A442">
        <v>293</v>
      </c>
      <c r="B442" s="6">
        <v>45048</v>
      </c>
      <c r="C442" s="5" t="s">
        <v>463</v>
      </c>
      <c r="D442" s="5" t="s">
        <v>2</v>
      </c>
      <c r="E442">
        <v>50</v>
      </c>
      <c r="F442" s="5" t="s">
        <v>374</v>
      </c>
      <c r="G442">
        <v>3</v>
      </c>
      <c r="H442" s="11">
        <v>30</v>
      </c>
      <c r="I442" s="11">
        <v>90</v>
      </c>
      <c r="J442" t="s">
        <v>20</v>
      </c>
      <c r="K442" t="s">
        <v>1028</v>
      </c>
      <c r="L442" t="s">
        <v>1038</v>
      </c>
      <c r="M442" t="s">
        <v>1041</v>
      </c>
      <c r="N442">
        <v>5</v>
      </c>
      <c r="O442" t="s">
        <v>1032</v>
      </c>
    </row>
    <row r="443" spans="1:15" x14ac:dyDescent="0.25">
      <c r="A443">
        <v>297</v>
      </c>
      <c r="B443" s="6">
        <v>45173</v>
      </c>
      <c r="C443" s="5" t="s">
        <v>464</v>
      </c>
      <c r="D443" s="5" t="s">
        <v>1</v>
      </c>
      <c r="E443">
        <v>40</v>
      </c>
      <c r="F443" s="5" t="s">
        <v>374</v>
      </c>
      <c r="G443">
        <v>2</v>
      </c>
      <c r="H443" s="11">
        <v>500</v>
      </c>
      <c r="I443" s="11">
        <v>1000</v>
      </c>
      <c r="J443" t="s">
        <v>20</v>
      </c>
      <c r="K443" t="s">
        <v>1028</v>
      </c>
      <c r="L443" t="s">
        <v>1038</v>
      </c>
      <c r="M443" t="s">
        <v>1033</v>
      </c>
      <c r="N443">
        <v>9</v>
      </c>
      <c r="O443" t="s">
        <v>1043</v>
      </c>
    </row>
    <row r="444" spans="1:15" x14ac:dyDescent="0.25">
      <c r="A444">
        <v>299</v>
      </c>
      <c r="B444" s="6">
        <v>45132</v>
      </c>
      <c r="C444" s="5" t="s">
        <v>465</v>
      </c>
      <c r="D444" s="5" t="s">
        <v>2</v>
      </c>
      <c r="E444">
        <v>61</v>
      </c>
      <c r="F444" s="5" t="s">
        <v>374</v>
      </c>
      <c r="G444">
        <v>2</v>
      </c>
      <c r="H444" s="11">
        <v>500</v>
      </c>
      <c r="I444" s="11">
        <v>1000</v>
      </c>
      <c r="J444" t="s">
        <v>24</v>
      </c>
      <c r="K444" t="s">
        <v>1030</v>
      </c>
      <c r="L444" t="s">
        <v>1038</v>
      </c>
      <c r="M444" t="s">
        <v>1033</v>
      </c>
      <c r="N444">
        <v>7</v>
      </c>
      <c r="O444" t="s">
        <v>1046</v>
      </c>
    </row>
    <row r="445" spans="1:15" x14ac:dyDescent="0.25">
      <c r="A445">
        <v>300</v>
      </c>
      <c r="B445" s="6">
        <v>44957</v>
      </c>
      <c r="C445" s="5" t="s">
        <v>466</v>
      </c>
      <c r="D445" s="5" t="s">
        <v>1</v>
      </c>
      <c r="E445">
        <v>19</v>
      </c>
      <c r="F445" s="5" t="s">
        <v>374</v>
      </c>
      <c r="G445">
        <v>4</v>
      </c>
      <c r="H445" s="11">
        <v>50</v>
      </c>
      <c r="I445" s="11">
        <v>200</v>
      </c>
      <c r="J445" t="s">
        <v>22</v>
      </c>
      <c r="K445" t="s">
        <v>1029</v>
      </c>
      <c r="L445" t="s">
        <v>1038</v>
      </c>
      <c r="M445" t="s">
        <v>1039</v>
      </c>
      <c r="N445">
        <v>1</v>
      </c>
      <c r="O445" t="s">
        <v>1045</v>
      </c>
    </row>
    <row r="446" spans="1:15" x14ac:dyDescent="0.25">
      <c r="A446">
        <v>303</v>
      </c>
      <c r="B446" s="6">
        <v>44928</v>
      </c>
      <c r="C446" s="5" t="s">
        <v>467</v>
      </c>
      <c r="D446" s="5" t="s">
        <v>2</v>
      </c>
      <c r="E446">
        <v>19</v>
      </c>
      <c r="F446" s="5" t="s">
        <v>374</v>
      </c>
      <c r="G446">
        <v>3</v>
      </c>
      <c r="H446" s="11">
        <v>30</v>
      </c>
      <c r="I446" s="11">
        <v>90</v>
      </c>
      <c r="J446" t="s">
        <v>22</v>
      </c>
      <c r="K446" t="s">
        <v>1029</v>
      </c>
      <c r="L446" t="s">
        <v>1038</v>
      </c>
      <c r="M446" t="s">
        <v>1039</v>
      </c>
      <c r="N446">
        <v>1</v>
      </c>
      <c r="O446" t="s">
        <v>1045</v>
      </c>
    </row>
    <row r="447" spans="1:15" x14ac:dyDescent="0.25">
      <c r="A447">
        <v>304</v>
      </c>
      <c r="B447" s="6">
        <v>45126</v>
      </c>
      <c r="C447" s="5" t="s">
        <v>468</v>
      </c>
      <c r="D447" s="5" t="s">
        <v>1</v>
      </c>
      <c r="E447">
        <v>37</v>
      </c>
      <c r="F447" s="5" t="s">
        <v>374</v>
      </c>
      <c r="G447">
        <v>2</v>
      </c>
      <c r="H447" s="11">
        <v>30</v>
      </c>
      <c r="I447" s="11">
        <v>60</v>
      </c>
      <c r="J447" t="s">
        <v>20</v>
      </c>
      <c r="K447" t="s">
        <v>1028</v>
      </c>
      <c r="L447" t="s">
        <v>1038</v>
      </c>
      <c r="M447" t="s">
        <v>1033</v>
      </c>
      <c r="N447">
        <v>7</v>
      </c>
      <c r="O447" t="s">
        <v>1046</v>
      </c>
    </row>
    <row r="448" spans="1:15" x14ac:dyDescent="0.25">
      <c r="A448">
        <v>306</v>
      </c>
      <c r="B448" s="6">
        <v>45159</v>
      </c>
      <c r="C448" s="5" t="s">
        <v>469</v>
      </c>
      <c r="D448" s="5" t="s">
        <v>2</v>
      </c>
      <c r="E448">
        <v>54</v>
      </c>
      <c r="F448" s="5" t="s">
        <v>374</v>
      </c>
      <c r="G448">
        <v>1</v>
      </c>
      <c r="H448" s="11">
        <v>50</v>
      </c>
      <c r="I448" s="11">
        <v>50</v>
      </c>
      <c r="J448" t="s">
        <v>20</v>
      </c>
      <c r="K448" t="s">
        <v>1028</v>
      </c>
      <c r="L448" t="s">
        <v>1038</v>
      </c>
      <c r="M448" t="s">
        <v>1033</v>
      </c>
      <c r="N448">
        <v>8</v>
      </c>
      <c r="O448" t="s">
        <v>1051</v>
      </c>
    </row>
    <row r="449" spans="1:15" x14ac:dyDescent="0.25">
      <c r="A449">
        <v>307</v>
      </c>
      <c r="B449" s="6">
        <v>45073</v>
      </c>
      <c r="C449" s="5" t="s">
        <v>470</v>
      </c>
      <c r="D449" s="5" t="s">
        <v>1</v>
      </c>
      <c r="E449">
        <v>26</v>
      </c>
      <c r="F449" s="5" t="s">
        <v>374</v>
      </c>
      <c r="G449">
        <v>2</v>
      </c>
      <c r="H449" s="11">
        <v>25</v>
      </c>
      <c r="I449" s="11">
        <v>50</v>
      </c>
      <c r="J449" t="s">
        <v>22</v>
      </c>
      <c r="K449" t="s">
        <v>1029</v>
      </c>
      <c r="L449" t="s">
        <v>1038</v>
      </c>
      <c r="M449" t="s">
        <v>1041</v>
      </c>
      <c r="N449">
        <v>5</v>
      </c>
      <c r="O449" t="s">
        <v>1032</v>
      </c>
    </row>
    <row r="450" spans="1:15" x14ac:dyDescent="0.25">
      <c r="A450">
        <v>317</v>
      </c>
      <c r="B450" s="6">
        <v>44956</v>
      </c>
      <c r="C450" s="5" t="s">
        <v>471</v>
      </c>
      <c r="D450" s="5" t="s">
        <v>2</v>
      </c>
      <c r="E450">
        <v>22</v>
      </c>
      <c r="F450" s="5" t="s">
        <v>374</v>
      </c>
      <c r="G450">
        <v>3</v>
      </c>
      <c r="H450" s="11">
        <v>30</v>
      </c>
      <c r="I450" s="11">
        <v>90</v>
      </c>
      <c r="J450" t="s">
        <v>22</v>
      </c>
      <c r="K450" t="s">
        <v>1029</v>
      </c>
      <c r="L450" t="s">
        <v>1038</v>
      </c>
      <c r="M450" t="s">
        <v>1039</v>
      </c>
      <c r="N450">
        <v>1</v>
      </c>
      <c r="O450" t="s">
        <v>1045</v>
      </c>
    </row>
    <row r="451" spans="1:15" x14ac:dyDescent="0.25">
      <c r="A451">
        <v>320</v>
      </c>
      <c r="B451" s="6">
        <v>44958</v>
      </c>
      <c r="C451" s="5" t="s">
        <v>472</v>
      </c>
      <c r="D451" s="5" t="s">
        <v>1</v>
      </c>
      <c r="E451">
        <v>28</v>
      </c>
      <c r="F451" s="5" t="s">
        <v>374</v>
      </c>
      <c r="G451">
        <v>4</v>
      </c>
      <c r="H451" s="11">
        <v>300</v>
      </c>
      <c r="I451" s="11">
        <v>1200</v>
      </c>
      <c r="J451" t="s">
        <v>22</v>
      </c>
      <c r="K451" t="s">
        <v>1029</v>
      </c>
      <c r="L451" t="s">
        <v>1038</v>
      </c>
      <c r="M451" t="s">
        <v>1039</v>
      </c>
      <c r="N451">
        <v>2</v>
      </c>
      <c r="O451" t="s">
        <v>1044</v>
      </c>
    </row>
    <row r="452" spans="1:15" x14ac:dyDescent="0.25">
      <c r="A452">
        <v>321</v>
      </c>
      <c r="B452" s="6">
        <v>45087</v>
      </c>
      <c r="C452" s="5" t="s">
        <v>473</v>
      </c>
      <c r="D452" s="5" t="s">
        <v>1</v>
      </c>
      <c r="E452">
        <v>26</v>
      </c>
      <c r="F452" s="5" t="s">
        <v>374</v>
      </c>
      <c r="G452">
        <v>2</v>
      </c>
      <c r="H452" s="11">
        <v>25</v>
      </c>
      <c r="I452" s="11">
        <v>50</v>
      </c>
      <c r="J452" t="s">
        <v>22</v>
      </c>
      <c r="K452" t="s">
        <v>1029</v>
      </c>
      <c r="L452" t="s">
        <v>1038</v>
      </c>
      <c r="M452" t="s">
        <v>1041</v>
      </c>
      <c r="N452">
        <v>6</v>
      </c>
      <c r="O452" t="s">
        <v>1050</v>
      </c>
    </row>
    <row r="453" spans="1:15" x14ac:dyDescent="0.25">
      <c r="A453">
        <v>322</v>
      </c>
      <c r="B453" s="6">
        <v>44956</v>
      </c>
      <c r="C453" s="5" t="s">
        <v>474</v>
      </c>
      <c r="D453" s="5" t="s">
        <v>2</v>
      </c>
      <c r="E453">
        <v>51</v>
      </c>
      <c r="F453" s="5" t="s">
        <v>374</v>
      </c>
      <c r="G453">
        <v>1</v>
      </c>
      <c r="H453" s="11">
        <v>500</v>
      </c>
      <c r="I453" s="11">
        <v>500</v>
      </c>
      <c r="J453" t="s">
        <v>20</v>
      </c>
      <c r="K453" t="s">
        <v>1028</v>
      </c>
      <c r="L453" t="s">
        <v>1038</v>
      </c>
      <c r="M453" t="s">
        <v>1039</v>
      </c>
      <c r="N453">
        <v>1</v>
      </c>
      <c r="O453" t="s">
        <v>1045</v>
      </c>
    </row>
    <row r="454" spans="1:15" x14ac:dyDescent="0.25">
      <c r="A454">
        <v>324</v>
      </c>
      <c r="B454" s="6">
        <v>45226</v>
      </c>
      <c r="C454" s="5" t="s">
        <v>475</v>
      </c>
      <c r="D454" s="5" t="s">
        <v>1</v>
      </c>
      <c r="E454">
        <v>52</v>
      </c>
      <c r="F454" s="5" t="s">
        <v>374</v>
      </c>
      <c r="G454">
        <v>3</v>
      </c>
      <c r="H454" s="11">
        <v>50</v>
      </c>
      <c r="I454" s="11">
        <v>150</v>
      </c>
      <c r="J454" t="s">
        <v>20</v>
      </c>
      <c r="K454" t="s">
        <v>1028</v>
      </c>
      <c r="L454" t="s">
        <v>1038</v>
      </c>
      <c r="M454" t="s">
        <v>1047</v>
      </c>
      <c r="N454">
        <v>10</v>
      </c>
      <c r="O454" t="s">
        <v>1049</v>
      </c>
    </row>
    <row r="455" spans="1:15" x14ac:dyDescent="0.25">
      <c r="A455">
        <v>325</v>
      </c>
      <c r="B455" s="6">
        <v>45171</v>
      </c>
      <c r="C455" s="5" t="s">
        <v>476</v>
      </c>
      <c r="D455" s="5" t="s">
        <v>1</v>
      </c>
      <c r="E455">
        <v>52</v>
      </c>
      <c r="F455" s="5" t="s">
        <v>374</v>
      </c>
      <c r="G455">
        <v>2</v>
      </c>
      <c r="H455" s="11">
        <v>25</v>
      </c>
      <c r="I455" s="11">
        <v>50</v>
      </c>
      <c r="J455" t="s">
        <v>20</v>
      </c>
      <c r="K455" t="s">
        <v>1028</v>
      </c>
      <c r="L455" t="s">
        <v>1038</v>
      </c>
      <c r="M455" t="s">
        <v>1033</v>
      </c>
      <c r="N455">
        <v>9</v>
      </c>
      <c r="O455" t="s">
        <v>1043</v>
      </c>
    </row>
    <row r="456" spans="1:15" x14ac:dyDescent="0.25">
      <c r="A456">
        <v>327</v>
      </c>
      <c r="B456" s="6">
        <v>45198</v>
      </c>
      <c r="C456" s="5" t="s">
        <v>477</v>
      </c>
      <c r="D456" s="5" t="s">
        <v>2</v>
      </c>
      <c r="E456">
        <v>57</v>
      </c>
      <c r="F456" s="5" t="s">
        <v>374</v>
      </c>
      <c r="G456">
        <v>3</v>
      </c>
      <c r="H456" s="11">
        <v>50</v>
      </c>
      <c r="I456" s="11">
        <v>150</v>
      </c>
      <c r="J456" t="s">
        <v>24</v>
      </c>
      <c r="K456" t="s">
        <v>1030</v>
      </c>
      <c r="L456" t="s">
        <v>1038</v>
      </c>
      <c r="M456" t="s">
        <v>1033</v>
      </c>
      <c r="N456">
        <v>9</v>
      </c>
      <c r="O456" t="s">
        <v>1043</v>
      </c>
    </row>
    <row r="457" spans="1:15" x14ac:dyDescent="0.25">
      <c r="A457">
        <v>329</v>
      </c>
      <c r="B457" s="6">
        <v>44956</v>
      </c>
      <c r="C457" s="5" t="s">
        <v>478</v>
      </c>
      <c r="D457" s="5" t="s">
        <v>1</v>
      </c>
      <c r="E457">
        <v>46</v>
      </c>
      <c r="F457" s="5" t="s">
        <v>374</v>
      </c>
      <c r="G457">
        <v>4</v>
      </c>
      <c r="H457" s="11">
        <v>25</v>
      </c>
      <c r="I457" s="11">
        <v>100</v>
      </c>
      <c r="J457" t="s">
        <v>20</v>
      </c>
      <c r="K457" t="s">
        <v>1028</v>
      </c>
      <c r="L457" t="s">
        <v>1038</v>
      </c>
      <c r="M457" t="s">
        <v>1039</v>
      </c>
      <c r="N457">
        <v>1</v>
      </c>
      <c r="O457" t="s">
        <v>1045</v>
      </c>
    </row>
    <row r="458" spans="1:15" x14ac:dyDescent="0.25">
      <c r="A458">
        <v>331</v>
      </c>
      <c r="B458" s="6">
        <v>44968</v>
      </c>
      <c r="C458" s="5" t="s">
        <v>479</v>
      </c>
      <c r="D458" s="5" t="s">
        <v>2</v>
      </c>
      <c r="E458">
        <v>28</v>
      </c>
      <c r="F458" s="5" t="s">
        <v>374</v>
      </c>
      <c r="G458">
        <v>3</v>
      </c>
      <c r="H458" s="11">
        <v>30</v>
      </c>
      <c r="I458" s="11">
        <v>90</v>
      </c>
      <c r="J458" t="s">
        <v>22</v>
      </c>
      <c r="K458" t="s">
        <v>1029</v>
      </c>
      <c r="L458" t="s">
        <v>1038</v>
      </c>
      <c r="M458" t="s">
        <v>1039</v>
      </c>
      <c r="N458">
        <v>2</v>
      </c>
      <c r="O458" t="s">
        <v>1044</v>
      </c>
    </row>
    <row r="459" spans="1:15" x14ac:dyDescent="0.25">
      <c r="A459">
        <v>332</v>
      </c>
      <c r="B459" s="6">
        <v>45022</v>
      </c>
      <c r="C459" s="5" t="s">
        <v>480</v>
      </c>
      <c r="D459" s="5" t="s">
        <v>2</v>
      </c>
      <c r="E459">
        <v>58</v>
      </c>
      <c r="F459" s="5" t="s">
        <v>374</v>
      </c>
      <c r="G459">
        <v>4</v>
      </c>
      <c r="H459" s="11">
        <v>300</v>
      </c>
      <c r="I459" s="11">
        <v>1200</v>
      </c>
      <c r="J459" t="s">
        <v>24</v>
      </c>
      <c r="K459" t="s">
        <v>1030</v>
      </c>
      <c r="L459" t="s">
        <v>1038</v>
      </c>
      <c r="M459" t="s">
        <v>1041</v>
      </c>
      <c r="N459">
        <v>4</v>
      </c>
      <c r="O459" t="s">
        <v>1042</v>
      </c>
    </row>
    <row r="460" spans="1:15" x14ac:dyDescent="0.25">
      <c r="A460">
        <v>333</v>
      </c>
      <c r="B460" s="6">
        <v>44962</v>
      </c>
      <c r="C460" s="5" t="s">
        <v>481</v>
      </c>
      <c r="D460" s="5" t="s">
        <v>1</v>
      </c>
      <c r="E460">
        <v>54</v>
      </c>
      <c r="F460" s="5" t="s">
        <v>374</v>
      </c>
      <c r="G460">
        <v>4</v>
      </c>
      <c r="H460" s="11">
        <v>300</v>
      </c>
      <c r="I460" s="11">
        <v>1200</v>
      </c>
      <c r="J460" t="s">
        <v>20</v>
      </c>
      <c r="K460" t="s">
        <v>1028</v>
      </c>
      <c r="L460" t="s">
        <v>1038</v>
      </c>
      <c r="M460" t="s">
        <v>1039</v>
      </c>
      <c r="N460">
        <v>2</v>
      </c>
      <c r="O460" t="s">
        <v>1044</v>
      </c>
    </row>
    <row r="461" spans="1:15" x14ac:dyDescent="0.25">
      <c r="A461">
        <v>334</v>
      </c>
      <c r="B461" s="6">
        <v>45231</v>
      </c>
      <c r="C461" s="5" t="s">
        <v>482</v>
      </c>
      <c r="D461" s="5" t="s">
        <v>2</v>
      </c>
      <c r="E461">
        <v>31</v>
      </c>
      <c r="F461" s="5" t="s">
        <v>374</v>
      </c>
      <c r="G461">
        <v>3</v>
      </c>
      <c r="H461" s="11">
        <v>300</v>
      </c>
      <c r="I461" s="11">
        <v>900</v>
      </c>
      <c r="J461" t="s">
        <v>20</v>
      </c>
      <c r="K461" t="s">
        <v>1028</v>
      </c>
      <c r="L461" t="s">
        <v>1038</v>
      </c>
      <c r="M461" t="s">
        <v>1047</v>
      </c>
      <c r="N461">
        <v>11</v>
      </c>
      <c r="O461" t="s">
        <v>1048</v>
      </c>
    </row>
    <row r="462" spans="1:15" x14ac:dyDescent="0.25">
      <c r="A462">
        <v>339</v>
      </c>
      <c r="B462" s="6">
        <v>44988</v>
      </c>
      <c r="C462" s="5" t="s">
        <v>483</v>
      </c>
      <c r="D462" s="5" t="s">
        <v>1</v>
      </c>
      <c r="E462">
        <v>22</v>
      </c>
      <c r="F462" s="5" t="s">
        <v>374</v>
      </c>
      <c r="G462">
        <v>2</v>
      </c>
      <c r="H462" s="11">
        <v>25</v>
      </c>
      <c r="I462" s="11">
        <v>50</v>
      </c>
      <c r="J462" t="s">
        <v>22</v>
      </c>
      <c r="K462" t="s">
        <v>1029</v>
      </c>
      <c r="L462" t="s">
        <v>1038</v>
      </c>
      <c r="M462" t="s">
        <v>1039</v>
      </c>
      <c r="N462">
        <v>3</v>
      </c>
      <c r="O462" t="s">
        <v>1040</v>
      </c>
    </row>
    <row r="463" spans="1:15" x14ac:dyDescent="0.25">
      <c r="A463">
        <v>343</v>
      </c>
      <c r="B463" s="6">
        <v>45231</v>
      </c>
      <c r="C463" s="5" t="s">
        <v>484</v>
      </c>
      <c r="D463" s="5" t="s">
        <v>2</v>
      </c>
      <c r="E463">
        <v>21</v>
      </c>
      <c r="F463" s="5" t="s">
        <v>374</v>
      </c>
      <c r="G463">
        <v>2</v>
      </c>
      <c r="H463" s="11">
        <v>25</v>
      </c>
      <c r="I463" s="11">
        <v>50</v>
      </c>
      <c r="J463" t="s">
        <v>22</v>
      </c>
      <c r="K463" t="s">
        <v>1029</v>
      </c>
      <c r="L463" t="s">
        <v>1038</v>
      </c>
      <c r="M463" t="s">
        <v>1047</v>
      </c>
      <c r="N463">
        <v>11</v>
      </c>
      <c r="O463" t="s">
        <v>1048</v>
      </c>
    </row>
    <row r="464" spans="1:15" x14ac:dyDescent="0.25">
      <c r="A464">
        <v>345</v>
      </c>
      <c r="B464" s="6">
        <v>45244</v>
      </c>
      <c r="C464" s="5" t="s">
        <v>485</v>
      </c>
      <c r="D464" s="5" t="s">
        <v>2</v>
      </c>
      <c r="E464">
        <v>62</v>
      </c>
      <c r="F464" s="5" t="s">
        <v>374</v>
      </c>
      <c r="G464">
        <v>1</v>
      </c>
      <c r="H464" s="11">
        <v>30</v>
      </c>
      <c r="I464" s="11">
        <v>30</v>
      </c>
      <c r="J464" t="s">
        <v>24</v>
      </c>
      <c r="K464" t="s">
        <v>1030</v>
      </c>
      <c r="L464" t="s">
        <v>1038</v>
      </c>
      <c r="M464" t="s">
        <v>1047</v>
      </c>
      <c r="N464">
        <v>11</v>
      </c>
      <c r="O464" t="s">
        <v>1048</v>
      </c>
    </row>
    <row r="465" spans="1:15" x14ac:dyDescent="0.25">
      <c r="A465">
        <v>347</v>
      </c>
      <c r="B465" s="6">
        <v>45141</v>
      </c>
      <c r="C465" s="5" t="s">
        <v>486</v>
      </c>
      <c r="D465" s="5" t="s">
        <v>2</v>
      </c>
      <c r="E465">
        <v>42</v>
      </c>
      <c r="F465" s="5" t="s">
        <v>374</v>
      </c>
      <c r="G465">
        <v>1</v>
      </c>
      <c r="H465" s="11">
        <v>25</v>
      </c>
      <c r="I465" s="11">
        <v>25</v>
      </c>
      <c r="J465" t="s">
        <v>20</v>
      </c>
      <c r="K465" t="s">
        <v>1028</v>
      </c>
      <c r="L465" t="s">
        <v>1038</v>
      </c>
      <c r="M465" t="s">
        <v>1033</v>
      </c>
      <c r="N465">
        <v>8</v>
      </c>
      <c r="O465" t="s">
        <v>1051</v>
      </c>
    </row>
    <row r="466" spans="1:15" x14ac:dyDescent="0.25">
      <c r="A466">
        <v>348</v>
      </c>
      <c r="B466" s="6">
        <v>45263</v>
      </c>
      <c r="C466" s="5" t="s">
        <v>487</v>
      </c>
      <c r="D466" s="5" t="s">
        <v>1</v>
      </c>
      <c r="E466">
        <v>35</v>
      </c>
      <c r="F466" s="5" t="s">
        <v>374</v>
      </c>
      <c r="G466">
        <v>2</v>
      </c>
      <c r="H466" s="11">
        <v>300</v>
      </c>
      <c r="I466" s="11">
        <v>600</v>
      </c>
      <c r="J466" t="s">
        <v>20</v>
      </c>
      <c r="K466" t="s">
        <v>1028</v>
      </c>
      <c r="L466" t="s">
        <v>1038</v>
      </c>
      <c r="M466" t="s">
        <v>1047</v>
      </c>
      <c r="N466">
        <v>12</v>
      </c>
      <c r="O466" t="s">
        <v>1052</v>
      </c>
    </row>
    <row r="467" spans="1:15" x14ac:dyDescent="0.25">
      <c r="A467">
        <v>352</v>
      </c>
      <c r="B467" s="6">
        <v>45088</v>
      </c>
      <c r="C467" s="5" t="s">
        <v>488</v>
      </c>
      <c r="D467" s="5" t="s">
        <v>2</v>
      </c>
      <c r="E467">
        <v>57</v>
      </c>
      <c r="F467" s="5" t="s">
        <v>374</v>
      </c>
      <c r="G467">
        <v>2</v>
      </c>
      <c r="H467" s="11">
        <v>500</v>
      </c>
      <c r="I467" s="11">
        <v>1000</v>
      </c>
      <c r="J467" t="s">
        <v>24</v>
      </c>
      <c r="K467" t="s">
        <v>1030</v>
      </c>
      <c r="L467" t="s">
        <v>1038</v>
      </c>
      <c r="M467" t="s">
        <v>1041</v>
      </c>
      <c r="N467">
        <v>6</v>
      </c>
      <c r="O467" t="s">
        <v>1050</v>
      </c>
    </row>
    <row r="468" spans="1:15" x14ac:dyDescent="0.25">
      <c r="A468">
        <v>353</v>
      </c>
      <c r="B468" s="6">
        <v>45060</v>
      </c>
      <c r="C468" s="5" t="s">
        <v>489</v>
      </c>
      <c r="D468" s="5" t="s">
        <v>2</v>
      </c>
      <c r="E468">
        <v>31</v>
      </c>
      <c r="F468" s="5" t="s">
        <v>374</v>
      </c>
      <c r="G468">
        <v>1</v>
      </c>
      <c r="H468" s="11">
        <v>500</v>
      </c>
      <c r="I468" s="11">
        <v>500</v>
      </c>
      <c r="J468" t="s">
        <v>20</v>
      </c>
      <c r="K468" t="s">
        <v>1028</v>
      </c>
      <c r="L468" t="s">
        <v>1038</v>
      </c>
      <c r="M468" t="s">
        <v>1041</v>
      </c>
      <c r="N468">
        <v>5</v>
      </c>
      <c r="O468" t="s">
        <v>1032</v>
      </c>
    </row>
    <row r="469" spans="1:15" x14ac:dyDescent="0.25">
      <c r="A469">
        <v>355</v>
      </c>
      <c r="B469" s="6">
        <v>45269</v>
      </c>
      <c r="C469" s="5" t="s">
        <v>490</v>
      </c>
      <c r="D469" s="5" t="s">
        <v>1</v>
      </c>
      <c r="E469">
        <v>55</v>
      </c>
      <c r="F469" s="5" t="s">
        <v>374</v>
      </c>
      <c r="G469">
        <v>1</v>
      </c>
      <c r="H469" s="11">
        <v>500</v>
      </c>
      <c r="I469" s="11">
        <v>500</v>
      </c>
      <c r="J469" t="s">
        <v>20</v>
      </c>
      <c r="K469" t="s">
        <v>1028</v>
      </c>
      <c r="L469" t="s">
        <v>1038</v>
      </c>
      <c r="M469" t="s">
        <v>1047</v>
      </c>
      <c r="N469">
        <v>12</v>
      </c>
      <c r="O469" t="s">
        <v>1052</v>
      </c>
    </row>
    <row r="470" spans="1:15" x14ac:dyDescent="0.25">
      <c r="A470">
        <v>356</v>
      </c>
      <c r="B470" s="6">
        <v>45087</v>
      </c>
      <c r="C470" s="5" t="s">
        <v>491</v>
      </c>
      <c r="D470" s="5" t="s">
        <v>2</v>
      </c>
      <c r="E470">
        <v>50</v>
      </c>
      <c r="F470" s="5" t="s">
        <v>374</v>
      </c>
      <c r="G470">
        <v>3</v>
      </c>
      <c r="H470" s="11">
        <v>500</v>
      </c>
      <c r="I470" s="11">
        <v>1500</v>
      </c>
      <c r="J470" t="s">
        <v>20</v>
      </c>
      <c r="K470" t="s">
        <v>1028</v>
      </c>
      <c r="L470" t="s">
        <v>1038</v>
      </c>
      <c r="M470" t="s">
        <v>1041</v>
      </c>
      <c r="N470">
        <v>6</v>
      </c>
      <c r="O470" t="s">
        <v>1050</v>
      </c>
    </row>
    <row r="471" spans="1:15" x14ac:dyDescent="0.25">
      <c r="A471">
        <v>357</v>
      </c>
      <c r="B471" s="6">
        <v>45049</v>
      </c>
      <c r="C471" s="5" t="s">
        <v>492</v>
      </c>
      <c r="D471" s="5" t="s">
        <v>1</v>
      </c>
      <c r="E471">
        <v>40</v>
      </c>
      <c r="F471" s="5" t="s">
        <v>374</v>
      </c>
      <c r="G471">
        <v>3</v>
      </c>
      <c r="H471" s="11">
        <v>25</v>
      </c>
      <c r="I471" s="11">
        <v>75</v>
      </c>
      <c r="J471" t="s">
        <v>20</v>
      </c>
      <c r="K471" t="s">
        <v>1028</v>
      </c>
      <c r="L471" t="s">
        <v>1038</v>
      </c>
      <c r="M471" t="s">
        <v>1041</v>
      </c>
      <c r="N471">
        <v>5</v>
      </c>
      <c r="O471" t="s">
        <v>1032</v>
      </c>
    </row>
    <row r="472" spans="1:15" x14ac:dyDescent="0.25">
      <c r="A472">
        <v>361</v>
      </c>
      <c r="B472" s="6">
        <v>45270</v>
      </c>
      <c r="C472" s="5" t="s">
        <v>493</v>
      </c>
      <c r="D472" s="5" t="s">
        <v>1</v>
      </c>
      <c r="E472">
        <v>34</v>
      </c>
      <c r="F472" s="5" t="s">
        <v>374</v>
      </c>
      <c r="G472">
        <v>4</v>
      </c>
      <c r="H472" s="11">
        <v>300</v>
      </c>
      <c r="I472" s="11">
        <v>1200</v>
      </c>
      <c r="J472" t="s">
        <v>20</v>
      </c>
      <c r="K472" t="s">
        <v>1028</v>
      </c>
      <c r="L472" t="s">
        <v>1038</v>
      </c>
      <c r="M472" t="s">
        <v>1047</v>
      </c>
      <c r="N472">
        <v>12</v>
      </c>
      <c r="O472" t="s">
        <v>1052</v>
      </c>
    </row>
    <row r="473" spans="1:15" x14ac:dyDescent="0.25">
      <c r="A473">
        <v>367</v>
      </c>
      <c r="B473" s="6">
        <v>44931</v>
      </c>
      <c r="C473" s="5" t="s">
        <v>494</v>
      </c>
      <c r="D473" s="5" t="s">
        <v>1</v>
      </c>
      <c r="E473">
        <v>57</v>
      </c>
      <c r="F473" s="5" t="s">
        <v>374</v>
      </c>
      <c r="G473">
        <v>1</v>
      </c>
      <c r="H473" s="11">
        <v>50</v>
      </c>
      <c r="I473" s="11">
        <v>50</v>
      </c>
      <c r="J473" t="s">
        <v>24</v>
      </c>
      <c r="K473" t="s">
        <v>1030</v>
      </c>
      <c r="L473" t="s">
        <v>1038</v>
      </c>
      <c r="M473" t="s">
        <v>1039</v>
      </c>
      <c r="N473">
        <v>1</v>
      </c>
      <c r="O473" t="s">
        <v>1045</v>
      </c>
    </row>
    <row r="474" spans="1:15" x14ac:dyDescent="0.25">
      <c r="A474">
        <v>369</v>
      </c>
      <c r="B474" s="6">
        <v>45245</v>
      </c>
      <c r="C474" s="5" t="s">
        <v>495</v>
      </c>
      <c r="D474" s="5" t="s">
        <v>2</v>
      </c>
      <c r="E474">
        <v>23</v>
      </c>
      <c r="F474" s="5" t="s">
        <v>374</v>
      </c>
      <c r="G474">
        <v>3</v>
      </c>
      <c r="H474" s="11">
        <v>500</v>
      </c>
      <c r="I474" s="11">
        <v>1500</v>
      </c>
      <c r="J474" t="s">
        <v>22</v>
      </c>
      <c r="K474" t="s">
        <v>1029</v>
      </c>
      <c r="L474" t="s">
        <v>1038</v>
      </c>
      <c r="M474" t="s">
        <v>1047</v>
      </c>
      <c r="N474">
        <v>11</v>
      </c>
      <c r="O474" t="s">
        <v>1048</v>
      </c>
    </row>
    <row r="475" spans="1:15" x14ac:dyDescent="0.25">
      <c r="A475">
        <v>370</v>
      </c>
      <c r="B475" s="6">
        <v>45215</v>
      </c>
      <c r="C475" s="5" t="s">
        <v>496</v>
      </c>
      <c r="D475" s="5" t="s">
        <v>2</v>
      </c>
      <c r="E475">
        <v>23</v>
      </c>
      <c r="F475" s="5" t="s">
        <v>374</v>
      </c>
      <c r="G475">
        <v>2</v>
      </c>
      <c r="H475" s="11">
        <v>30</v>
      </c>
      <c r="I475" s="11">
        <v>60</v>
      </c>
      <c r="J475" t="s">
        <v>22</v>
      </c>
      <c r="K475" t="s">
        <v>1029</v>
      </c>
      <c r="L475" t="s">
        <v>1038</v>
      </c>
      <c r="M475" t="s">
        <v>1047</v>
      </c>
      <c r="N475">
        <v>10</v>
      </c>
      <c r="O475" t="s">
        <v>1049</v>
      </c>
    </row>
    <row r="476" spans="1:15" x14ac:dyDescent="0.25">
      <c r="A476">
        <v>380</v>
      </c>
      <c r="B476" s="6">
        <v>45052</v>
      </c>
      <c r="C476" s="5" t="s">
        <v>497</v>
      </c>
      <c r="D476" s="5" t="s">
        <v>2</v>
      </c>
      <c r="E476">
        <v>56</v>
      </c>
      <c r="F476" s="5" t="s">
        <v>374</v>
      </c>
      <c r="G476">
        <v>2</v>
      </c>
      <c r="H476" s="11">
        <v>300</v>
      </c>
      <c r="I476" s="11">
        <v>600</v>
      </c>
      <c r="J476" t="s">
        <v>24</v>
      </c>
      <c r="K476" t="s">
        <v>1030</v>
      </c>
      <c r="L476" t="s">
        <v>1038</v>
      </c>
      <c r="M476" t="s">
        <v>1041</v>
      </c>
      <c r="N476">
        <v>5</v>
      </c>
      <c r="O476" t="s">
        <v>1032</v>
      </c>
    </row>
    <row r="477" spans="1:15" x14ac:dyDescent="0.25">
      <c r="A477">
        <v>385</v>
      </c>
      <c r="B477" s="6">
        <v>45205</v>
      </c>
      <c r="C477" s="5" t="s">
        <v>498</v>
      </c>
      <c r="D477" s="5" t="s">
        <v>2</v>
      </c>
      <c r="E477">
        <v>50</v>
      </c>
      <c r="F477" s="5" t="s">
        <v>374</v>
      </c>
      <c r="G477">
        <v>3</v>
      </c>
      <c r="H477" s="11">
        <v>500</v>
      </c>
      <c r="I477" s="11">
        <v>1500</v>
      </c>
      <c r="J477" t="s">
        <v>20</v>
      </c>
      <c r="K477" t="s">
        <v>1028</v>
      </c>
      <c r="L477" t="s">
        <v>1038</v>
      </c>
      <c r="M477" t="s">
        <v>1047</v>
      </c>
      <c r="N477">
        <v>10</v>
      </c>
      <c r="O477" t="s">
        <v>1049</v>
      </c>
    </row>
    <row r="478" spans="1:15" x14ac:dyDescent="0.25">
      <c r="A478">
        <v>386</v>
      </c>
      <c r="B478" s="6">
        <v>45287</v>
      </c>
      <c r="C478" s="5" t="s">
        <v>499</v>
      </c>
      <c r="D478" s="5" t="s">
        <v>1</v>
      </c>
      <c r="E478">
        <v>54</v>
      </c>
      <c r="F478" s="5" t="s">
        <v>374</v>
      </c>
      <c r="G478">
        <v>2</v>
      </c>
      <c r="H478" s="11">
        <v>300</v>
      </c>
      <c r="I478" s="11">
        <v>600</v>
      </c>
      <c r="J478" t="s">
        <v>20</v>
      </c>
      <c r="K478" t="s">
        <v>1028</v>
      </c>
      <c r="L478" t="s">
        <v>1038</v>
      </c>
      <c r="M478" t="s">
        <v>1047</v>
      </c>
      <c r="N478">
        <v>12</v>
      </c>
      <c r="O478" t="s">
        <v>1052</v>
      </c>
    </row>
    <row r="479" spans="1:15" x14ac:dyDescent="0.25">
      <c r="A479">
        <v>388</v>
      </c>
      <c r="B479" s="6">
        <v>45240</v>
      </c>
      <c r="C479" s="5" t="s">
        <v>500</v>
      </c>
      <c r="D479" s="5" t="s">
        <v>2</v>
      </c>
      <c r="E479">
        <v>50</v>
      </c>
      <c r="F479" s="5" t="s">
        <v>374</v>
      </c>
      <c r="G479">
        <v>1</v>
      </c>
      <c r="H479" s="11">
        <v>25</v>
      </c>
      <c r="I479" s="11">
        <v>25</v>
      </c>
      <c r="J479" t="s">
        <v>20</v>
      </c>
      <c r="K479" t="s">
        <v>1028</v>
      </c>
      <c r="L479" t="s">
        <v>1038</v>
      </c>
      <c r="M479" t="s">
        <v>1047</v>
      </c>
      <c r="N479">
        <v>11</v>
      </c>
      <c r="O479" t="s">
        <v>1048</v>
      </c>
    </row>
    <row r="480" spans="1:15" x14ac:dyDescent="0.25">
      <c r="A480">
        <v>390</v>
      </c>
      <c r="B480" s="6">
        <v>45197</v>
      </c>
      <c r="C480" s="5" t="s">
        <v>501</v>
      </c>
      <c r="D480" s="5" t="s">
        <v>2</v>
      </c>
      <c r="E480">
        <v>39</v>
      </c>
      <c r="F480" s="5" t="s">
        <v>374</v>
      </c>
      <c r="G480">
        <v>2</v>
      </c>
      <c r="H480" s="11">
        <v>50</v>
      </c>
      <c r="I480" s="11">
        <v>100</v>
      </c>
      <c r="J480" t="s">
        <v>20</v>
      </c>
      <c r="K480" t="s">
        <v>1028</v>
      </c>
      <c r="L480" t="s">
        <v>1038</v>
      </c>
      <c r="M480" t="s">
        <v>1033</v>
      </c>
      <c r="N480">
        <v>9</v>
      </c>
      <c r="O480" t="s">
        <v>1043</v>
      </c>
    </row>
    <row r="481" spans="1:15" x14ac:dyDescent="0.25">
      <c r="A481">
        <v>395</v>
      </c>
      <c r="B481" s="6">
        <v>45266</v>
      </c>
      <c r="C481" s="5" t="s">
        <v>502</v>
      </c>
      <c r="D481" s="5" t="s">
        <v>2</v>
      </c>
      <c r="E481">
        <v>50</v>
      </c>
      <c r="F481" s="5" t="s">
        <v>374</v>
      </c>
      <c r="G481">
        <v>2</v>
      </c>
      <c r="H481" s="11">
        <v>500</v>
      </c>
      <c r="I481" s="11">
        <v>1000</v>
      </c>
      <c r="J481" t="s">
        <v>20</v>
      </c>
      <c r="K481" t="s">
        <v>1028</v>
      </c>
      <c r="L481" t="s">
        <v>1038</v>
      </c>
      <c r="M481" t="s">
        <v>1047</v>
      </c>
      <c r="N481">
        <v>12</v>
      </c>
      <c r="O481" t="s">
        <v>1052</v>
      </c>
    </row>
    <row r="482" spans="1:15" x14ac:dyDescent="0.25">
      <c r="A482">
        <v>404</v>
      </c>
      <c r="B482" s="6">
        <v>45071</v>
      </c>
      <c r="C482" s="5" t="s">
        <v>503</v>
      </c>
      <c r="D482" s="5" t="s">
        <v>2</v>
      </c>
      <c r="E482">
        <v>46</v>
      </c>
      <c r="F482" s="5" t="s">
        <v>374</v>
      </c>
      <c r="G482">
        <v>2</v>
      </c>
      <c r="H482" s="11">
        <v>500</v>
      </c>
      <c r="I482" s="11">
        <v>1000</v>
      </c>
      <c r="J482" t="s">
        <v>20</v>
      </c>
      <c r="K482" t="s">
        <v>1028</v>
      </c>
      <c r="L482" t="s">
        <v>1038</v>
      </c>
      <c r="M482" t="s">
        <v>1041</v>
      </c>
      <c r="N482">
        <v>5</v>
      </c>
      <c r="O482" t="s">
        <v>1032</v>
      </c>
    </row>
    <row r="483" spans="1:15" x14ac:dyDescent="0.25">
      <c r="A483">
        <v>407</v>
      </c>
      <c r="B483" s="6">
        <v>45102</v>
      </c>
      <c r="C483" s="5" t="s">
        <v>504</v>
      </c>
      <c r="D483" s="5" t="s">
        <v>1</v>
      </c>
      <c r="E483">
        <v>46</v>
      </c>
      <c r="F483" s="5" t="s">
        <v>374</v>
      </c>
      <c r="G483">
        <v>3</v>
      </c>
      <c r="H483" s="11">
        <v>300</v>
      </c>
      <c r="I483" s="11">
        <v>900</v>
      </c>
      <c r="J483" t="s">
        <v>20</v>
      </c>
      <c r="K483" t="s">
        <v>1028</v>
      </c>
      <c r="L483" t="s">
        <v>1038</v>
      </c>
      <c r="M483" t="s">
        <v>1041</v>
      </c>
      <c r="N483">
        <v>6</v>
      </c>
      <c r="O483" t="s">
        <v>1050</v>
      </c>
    </row>
    <row r="484" spans="1:15" x14ac:dyDescent="0.25">
      <c r="A484">
        <v>409</v>
      </c>
      <c r="B484" s="6">
        <v>45278</v>
      </c>
      <c r="C484" s="5" t="s">
        <v>505</v>
      </c>
      <c r="D484" s="5" t="s">
        <v>1</v>
      </c>
      <c r="E484">
        <v>21</v>
      </c>
      <c r="F484" s="5" t="s">
        <v>374</v>
      </c>
      <c r="G484">
        <v>3</v>
      </c>
      <c r="H484" s="11">
        <v>300</v>
      </c>
      <c r="I484" s="11">
        <v>900</v>
      </c>
      <c r="J484" t="s">
        <v>22</v>
      </c>
      <c r="K484" t="s">
        <v>1029</v>
      </c>
      <c r="L484" t="s">
        <v>1038</v>
      </c>
      <c r="M484" t="s">
        <v>1047</v>
      </c>
      <c r="N484">
        <v>12</v>
      </c>
      <c r="O484" t="s">
        <v>1052</v>
      </c>
    </row>
    <row r="485" spans="1:15" x14ac:dyDescent="0.25">
      <c r="A485">
        <v>411</v>
      </c>
      <c r="B485" s="6">
        <v>45062</v>
      </c>
      <c r="C485" s="5" t="s">
        <v>506</v>
      </c>
      <c r="D485" s="5" t="s">
        <v>2</v>
      </c>
      <c r="E485">
        <v>62</v>
      </c>
      <c r="F485" s="5" t="s">
        <v>374</v>
      </c>
      <c r="G485">
        <v>4</v>
      </c>
      <c r="H485" s="11">
        <v>50</v>
      </c>
      <c r="I485" s="11">
        <v>200</v>
      </c>
      <c r="J485" t="s">
        <v>24</v>
      </c>
      <c r="K485" t="s">
        <v>1030</v>
      </c>
      <c r="L485" t="s">
        <v>1038</v>
      </c>
      <c r="M485" t="s">
        <v>1041</v>
      </c>
      <c r="N485">
        <v>5</v>
      </c>
      <c r="O485" t="s">
        <v>1032</v>
      </c>
    </row>
    <row r="486" spans="1:15" x14ac:dyDescent="0.25">
      <c r="A486">
        <v>412</v>
      </c>
      <c r="B486" s="6">
        <v>45185</v>
      </c>
      <c r="C486" s="5" t="s">
        <v>507</v>
      </c>
      <c r="D486" s="5" t="s">
        <v>1</v>
      </c>
      <c r="E486">
        <v>19</v>
      </c>
      <c r="F486" s="5" t="s">
        <v>374</v>
      </c>
      <c r="G486">
        <v>4</v>
      </c>
      <c r="H486" s="11">
        <v>500</v>
      </c>
      <c r="I486" s="11">
        <v>2000</v>
      </c>
      <c r="J486" t="s">
        <v>22</v>
      </c>
      <c r="K486" t="s">
        <v>1029</v>
      </c>
      <c r="L486" t="s">
        <v>1038</v>
      </c>
      <c r="M486" t="s">
        <v>1033</v>
      </c>
      <c r="N486">
        <v>9</v>
      </c>
      <c r="O486" t="s">
        <v>1043</v>
      </c>
    </row>
    <row r="487" spans="1:15" x14ac:dyDescent="0.25">
      <c r="A487">
        <v>416</v>
      </c>
      <c r="B487" s="6">
        <v>44974</v>
      </c>
      <c r="C487" s="5" t="s">
        <v>508</v>
      </c>
      <c r="D487" s="5" t="s">
        <v>2</v>
      </c>
      <c r="E487">
        <v>53</v>
      </c>
      <c r="F487" s="5" t="s">
        <v>374</v>
      </c>
      <c r="G487">
        <v>4</v>
      </c>
      <c r="H487" s="11">
        <v>500</v>
      </c>
      <c r="I487" s="11">
        <v>2000</v>
      </c>
      <c r="J487" t="s">
        <v>20</v>
      </c>
      <c r="K487" t="s">
        <v>1028</v>
      </c>
      <c r="L487" t="s">
        <v>1038</v>
      </c>
      <c r="M487" t="s">
        <v>1039</v>
      </c>
      <c r="N487">
        <v>2</v>
      </c>
      <c r="O487" t="s">
        <v>1044</v>
      </c>
    </row>
    <row r="488" spans="1:15" x14ac:dyDescent="0.25">
      <c r="A488">
        <v>417</v>
      </c>
      <c r="B488" s="6">
        <v>45251</v>
      </c>
      <c r="C488" s="5" t="s">
        <v>509</v>
      </c>
      <c r="D488" s="5" t="s">
        <v>2</v>
      </c>
      <c r="E488">
        <v>43</v>
      </c>
      <c r="F488" s="5" t="s">
        <v>374</v>
      </c>
      <c r="G488">
        <v>3</v>
      </c>
      <c r="H488" s="11">
        <v>300</v>
      </c>
      <c r="I488" s="11">
        <v>900</v>
      </c>
      <c r="J488" t="s">
        <v>20</v>
      </c>
      <c r="K488" t="s">
        <v>1028</v>
      </c>
      <c r="L488" t="s">
        <v>1038</v>
      </c>
      <c r="M488" t="s">
        <v>1047</v>
      </c>
      <c r="N488">
        <v>11</v>
      </c>
      <c r="O488" t="s">
        <v>1048</v>
      </c>
    </row>
    <row r="489" spans="1:15" x14ac:dyDescent="0.25">
      <c r="A489">
        <v>418</v>
      </c>
      <c r="B489" s="6">
        <v>45143</v>
      </c>
      <c r="C489" s="5" t="s">
        <v>510</v>
      </c>
      <c r="D489" s="5" t="s">
        <v>1</v>
      </c>
      <c r="E489">
        <v>60</v>
      </c>
      <c r="F489" s="5" t="s">
        <v>374</v>
      </c>
      <c r="G489">
        <v>2</v>
      </c>
      <c r="H489" s="11">
        <v>500</v>
      </c>
      <c r="I489" s="11">
        <v>1000</v>
      </c>
      <c r="J489" t="s">
        <v>24</v>
      </c>
      <c r="K489" t="s">
        <v>1030</v>
      </c>
      <c r="L489" t="s">
        <v>1038</v>
      </c>
      <c r="M489" t="s">
        <v>1033</v>
      </c>
      <c r="N489">
        <v>8</v>
      </c>
      <c r="O489" t="s">
        <v>1051</v>
      </c>
    </row>
    <row r="490" spans="1:15" x14ac:dyDescent="0.25">
      <c r="A490">
        <v>425</v>
      </c>
      <c r="B490" s="6">
        <v>45061</v>
      </c>
      <c r="C490" s="5" t="s">
        <v>511</v>
      </c>
      <c r="D490" s="5" t="s">
        <v>1</v>
      </c>
      <c r="E490">
        <v>55</v>
      </c>
      <c r="F490" s="5" t="s">
        <v>374</v>
      </c>
      <c r="G490">
        <v>4</v>
      </c>
      <c r="H490" s="11">
        <v>30</v>
      </c>
      <c r="I490" s="11">
        <v>120</v>
      </c>
      <c r="J490" t="s">
        <v>20</v>
      </c>
      <c r="K490" t="s">
        <v>1028</v>
      </c>
      <c r="L490" t="s">
        <v>1038</v>
      </c>
      <c r="M490" t="s">
        <v>1041</v>
      </c>
      <c r="N490">
        <v>5</v>
      </c>
      <c r="O490" t="s">
        <v>1032</v>
      </c>
    </row>
    <row r="491" spans="1:15" x14ac:dyDescent="0.25">
      <c r="A491">
        <v>426</v>
      </c>
      <c r="B491" s="6">
        <v>45009</v>
      </c>
      <c r="C491" s="5" t="s">
        <v>512</v>
      </c>
      <c r="D491" s="5" t="s">
        <v>2</v>
      </c>
      <c r="E491">
        <v>23</v>
      </c>
      <c r="F491" s="5" t="s">
        <v>374</v>
      </c>
      <c r="G491">
        <v>3</v>
      </c>
      <c r="H491" s="11">
        <v>50</v>
      </c>
      <c r="I491" s="11">
        <v>150</v>
      </c>
      <c r="J491" t="s">
        <v>22</v>
      </c>
      <c r="K491" t="s">
        <v>1029</v>
      </c>
      <c r="L491" t="s">
        <v>1038</v>
      </c>
      <c r="M491" t="s">
        <v>1039</v>
      </c>
      <c r="N491">
        <v>3</v>
      </c>
      <c r="O491" t="s">
        <v>1040</v>
      </c>
    </row>
    <row r="492" spans="1:15" x14ac:dyDescent="0.25">
      <c r="A492">
        <v>427</v>
      </c>
      <c r="B492" s="6">
        <v>45153</v>
      </c>
      <c r="C492" s="5" t="s">
        <v>513</v>
      </c>
      <c r="D492" s="5" t="s">
        <v>2</v>
      </c>
      <c r="E492">
        <v>25</v>
      </c>
      <c r="F492" s="5" t="s">
        <v>374</v>
      </c>
      <c r="G492">
        <v>1</v>
      </c>
      <c r="H492" s="11">
        <v>25</v>
      </c>
      <c r="I492" s="11">
        <v>25</v>
      </c>
      <c r="J492" t="s">
        <v>22</v>
      </c>
      <c r="K492" t="s">
        <v>1029</v>
      </c>
      <c r="L492" t="s">
        <v>1038</v>
      </c>
      <c r="M492" t="s">
        <v>1033</v>
      </c>
      <c r="N492">
        <v>8</v>
      </c>
      <c r="O492" t="s">
        <v>1051</v>
      </c>
    </row>
    <row r="493" spans="1:15" x14ac:dyDescent="0.25">
      <c r="A493">
        <v>428</v>
      </c>
      <c r="B493" s="6">
        <v>45209</v>
      </c>
      <c r="C493" s="5" t="s">
        <v>514</v>
      </c>
      <c r="D493" s="5" t="s">
        <v>1</v>
      </c>
      <c r="E493">
        <v>40</v>
      </c>
      <c r="F493" s="5" t="s">
        <v>374</v>
      </c>
      <c r="G493">
        <v>4</v>
      </c>
      <c r="H493" s="11">
        <v>50</v>
      </c>
      <c r="I493" s="11">
        <v>200</v>
      </c>
      <c r="J493" t="s">
        <v>20</v>
      </c>
      <c r="K493" t="s">
        <v>1028</v>
      </c>
      <c r="L493" t="s">
        <v>1038</v>
      </c>
      <c r="M493" t="s">
        <v>1047</v>
      </c>
      <c r="N493">
        <v>10</v>
      </c>
      <c r="O493" t="s">
        <v>1049</v>
      </c>
    </row>
    <row r="494" spans="1:15" x14ac:dyDescent="0.25">
      <c r="A494">
        <v>429</v>
      </c>
      <c r="B494" s="6">
        <v>45288</v>
      </c>
      <c r="C494" s="5" t="s">
        <v>515</v>
      </c>
      <c r="D494" s="5" t="s">
        <v>2</v>
      </c>
      <c r="E494">
        <v>64</v>
      </c>
      <c r="F494" s="5" t="s">
        <v>374</v>
      </c>
      <c r="G494">
        <v>2</v>
      </c>
      <c r="H494" s="11">
        <v>25</v>
      </c>
      <c r="I494" s="11">
        <v>50</v>
      </c>
      <c r="J494" t="s">
        <v>24</v>
      </c>
      <c r="K494" t="s">
        <v>1030</v>
      </c>
      <c r="L494" t="s">
        <v>1038</v>
      </c>
      <c r="M494" t="s">
        <v>1047</v>
      </c>
      <c r="N494">
        <v>12</v>
      </c>
      <c r="O494" t="s">
        <v>1052</v>
      </c>
    </row>
    <row r="495" spans="1:15" x14ac:dyDescent="0.25">
      <c r="A495">
        <v>430</v>
      </c>
      <c r="B495" s="6">
        <v>45145</v>
      </c>
      <c r="C495" s="5" t="s">
        <v>516</v>
      </c>
      <c r="D495" s="5" t="s">
        <v>1</v>
      </c>
      <c r="E495">
        <v>43</v>
      </c>
      <c r="F495" s="5" t="s">
        <v>374</v>
      </c>
      <c r="G495">
        <v>3</v>
      </c>
      <c r="H495" s="11">
        <v>300</v>
      </c>
      <c r="I495" s="11">
        <v>900</v>
      </c>
      <c r="J495" t="s">
        <v>20</v>
      </c>
      <c r="K495" t="s">
        <v>1028</v>
      </c>
      <c r="L495" t="s">
        <v>1038</v>
      </c>
      <c r="M495" t="s">
        <v>1033</v>
      </c>
      <c r="N495">
        <v>8</v>
      </c>
      <c r="O495" t="s">
        <v>1051</v>
      </c>
    </row>
    <row r="496" spans="1:15" x14ac:dyDescent="0.25">
      <c r="A496">
        <v>431</v>
      </c>
      <c r="B496" s="6">
        <v>45214</v>
      </c>
      <c r="C496" s="5" t="s">
        <v>517</v>
      </c>
      <c r="D496" s="5" t="s">
        <v>2</v>
      </c>
      <c r="E496">
        <v>63</v>
      </c>
      <c r="F496" s="5" t="s">
        <v>374</v>
      </c>
      <c r="G496">
        <v>4</v>
      </c>
      <c r="H496" s="11">
        <v>300</v>
      </c>
      <c r="I496" s="11">
        <v>1200</v>
      </c>
      <c r="J496" t="s">
        <v>24</v>
      </c>
      <c r="K496" t="s">
        <v>1030</v>
      </c>
      <c r="L496" t="s">
        <v>1038</v>
      </c>
      <c r="M496" t="s">
        <v>1047</v>
      </c>
      <c r="N496">
        <v>10</v>
      </c>
      <c r="O496" t="s">
        <v>1049</v>
      </c>
    </row>
    <row r="497" spans="1:15" x14ac:dyDescent="0.25">
      <c r="A497">
        <v>432</v>
      </c>
      <c r="B497" s="6">
        <v>44931</v>
      </c>
      <c r="C497" s="5" t="s">
        <v>518</v>
      </c>
      <c r="D497" s="5" t="s">
        <v>1</v>
      </c>
      <c r="E497">
        <v>60</v>
      </c>
      <c r="F497" s="5" t="s">
        <v>374</v>
      </c>
      <c r="G497">
        <v>2</v>
      </c>
      <c r="H497" s="11">
        <v>500</v>
      </c>
      <c r="I497" s="11">
        <v>1000</v>
      </c>
      <c r="J497" t="s">
        <v>24</v>
      </c>
      <c r="K497" t="s">
        <v>1030</v>
      </c>
      <c r="L497" t="s">
        <v>1038</v>
      </c>
      <c r="M497" t="s">
        <v>1039</v>
      </c>
      <c r="N497">
        <v>1</v>
      </c>
      <c r="O497" t="s">
        <v>1045</v>
      </c>
    </row>
    <row r="498" spans="1:15" x14ac:dyDescent="0.25">
      <c r="A498">
        <v>434</v>
      </c>
      <c r="B498" s="6">
        <v>44965</v>
      </c>
      <c r="C498" s="5" t="s">
        <v>519</v>
      </c>
      <c r="D498" s="5" t="s">
        <v>1</v>
      </c>
      <c r="E498">
        <v>43</v>
      </c>
      <c r="F498" s="5" t="s">
        <v>374</v>
      </c>
      <c r="G498">
        <v>2</v>
      </c>
      <c r="H498" s="11">
        <v>25</v>
      </c>
      <c r="I498" s="11">
        <v>50</v>
      </c>
      <c r="J498" t="s">
        <v>20</v>
      </c>
      <c r="K498" t="s">
        <v>1028</v>
      </c>
      <c r="L498" t="s">
        <v>1038</v>
      </c>
      <c r="M498" t="s">
        <v>1039</v>
      </c>
      <c r="N498">
        <v>2</v>
      </c>
      <c r="O498" t="s">
        <v>1044</v>
      </c>
    </row>
    <row r="499" spans="1:15" x14ac:dyDescent="0.25">
      <c r="A499">
        <v>437</v>
      </c>
      <c r="B499" s="6">
        <v>45206</v>
      </c>
      <c r="C499" s="5" t="s">
        <v>520</v>
      </c>
      <c r="D499" s="5" t="s">
        <v>1</v>
      </c>
      <c r="E499">
        <v>35</v>
      </c>
      <c r="F499" s="5" t="s">
        <v>374</v>
      </c>
      <c r="G499">
        <v>4</v>
      </c>
      <c r="H499" s="11">
        <v>300</v>
      </c>
      <c r="I499" s="11">
        <v>1200</v>
      </c>
      <c r="J499" t="s">
        <v>20</v>
      </c>
      <c r="K499" t="s">
        <v>1028</v>
      </c>
      <c r="L499" t="s">
        <v>1038</v>
      </c>
      <c r="M499" t="s">
        <v>1047</v>
      </c>
      <c r="N499">
        <v>10</v>
      </c>
      <c r="O499" t="s">
        <v>1049</v>
      </c>
    </row>
    <row r="500" spans="1:15" x14ac:dyDescent="0.25">
      <c r="A500">
        <v>445</v>
      </c>
      <c r="B500" s="6">
        <v>44948</v>
      </c>
      <c r="C500" s="5" t="s">
        <v>521</v>
      </c>
      <c r="D500" s="5" t="s">
        <v>1</v>
      </c>
      <c r="E500">
        <v>53</v>
      </c>
      <c r="F500" s="5" t="s">
        <v>374</v>
      </c>
      <c r="G500">
        <v>1</v>
      </c>
      <c r="H500" s="11">
        <v>300</v>
      </c>
      <c r="I500" s="11">
        <v>300</v>
      </c>
      <c r="J500" t="s">
        <v>20</v>
      </c>
      <c r="K500" t="s">
        <v>1028</v>
      </c>
      <c r="L500" t="s">
        <v>1038</v>
      </c>
      <c r="M500" t="s">
        <v>1039</v>
      </c>
      <c r="N500">
        <v>1</v>
      </c>
      <c r="O500" t="s">
        <v>1045</v>
      </c>
    </row>
    <row r="501" spans="1:15" x14ac:dyDescent="0.25">
      <c r="A501">
        <v>446</v>
      </c>
      <c r="B501" s="6">
        <v>45084</v>
      </c>
      <c r="C501" s="5" t="s">
        <v>522</v>
      </c>
      <c r="D501" s="5" t="s">
        <v>2</v>
      </c>
      <c r="E501">
        <v>21</v>
      </c>
      <c r="F501" s="5" t="s">
        <v>374</v>
      </c>
      <c r="G501">
        <v>1</v>
      </c>
      <c r="H501" s="11">
        <v>50</v>
      </c>
      <c r="I501" s="11">
        <v>50</v>
      </c>
      <c r="J501" t="s">
        <v>22</v>
      </c>
      <c r="K501" t="s">
        <v>1029</v>
      </c>
      <c r="L501" t="s">
        <v>1038</v>
      </c>
      <c r="M501" t="s">
        <v>1041</v>
      </c>
      <c r="N501">
        <v>6</v>
      </c>
      <c r="O501" t="s">
        <v>1050</v>
      </c>
    </row>
    <row r="502" spans="1:15" x14ac:dyDescent="0.25">
      <c r="A502">
        <v>449</v>
      </c>
      <c r="B502" s="6">
        <v>45110</v>
      </c>
      <c r="C502" s="5" t="s">
        <v>523</v>
      </c>
      <c r="D502" s="5" t="s">
        <v>2</v>
      </c>
      <c r="E502">
        <v>25</v>
      </c>
      <c r="F502" s="5" t="s">
        <v>374</v>
      </c>
      <c r="G502">
        <v>4</v>
      </c>
      <c r="H502" s="11">
        <v>50</v>
      </c>
      <c r="I502" s="11">
        <v>200</v>
      </c>
      <c r="J502" t="s">
        <v>22</v>
      </c>
      <c r="K502" t="s">
        <v>1029</v>
      </c>
      <c r="L502" t="s">
        <v>1038</v>
      </c>
      <c r="M502" t="s">
        <v>1033</v>
      </c>
      <c r="N502">
        <v>7</v>
      </c>
      <c r="O502" t="s">
        <v>1046</v>
      </c>
    </row>
    <row r="503" spans="1:15" x14ac:dyDescent="0.25">
      <c r="A503">
        <v>451</v>
      </c>
      <c r="B503" s="6">
        <v>45276</v>
      </c>
      <c r="C503" s="5" t="s">
        <v>524</v>
      </c>
      <c r="D503" s="5" t="s">
        <v>1</v>
      </c>
      <c r="E503">
        <v>45</v>
      </c>
      <c r="F503" s="5" t="s">
        <v>374</v>
      </c>
      <c r="G503">
        <v>1</v>
      </c>
      <c r="H503" s="11">
        <v>30</v>
      </c>
      <c r="I503" s="11">
        <v>30</v>
      </c>
      <c r="J503" t="s">
        <v>20</v>
      </c>
      <c r="K503" t="s">
        <v>1028</v>
      </c>
      <c r="L503" t="s">
        <v>1038</v>
      </c>
      <c r="M503" t="s">
        <v>1047</v>
      </c>
      <c r="N503">
        <v>12</v>
      </c>
      <c r="O503" t="s">
        <v>1052</v>
      </c>
    </row>
    <row r="504" spans="1:15" x14ac:dyDescent="0.25">
      <c r="A504">
        <v>455</v>
      </c>
      <c r="B504" s="6">
        <v>45108</v>
      </c>
      <c r="C504" s="5" t="s">
        <v>525</v>
      </c>
      <c r="D504" s="5" t="s">
        <v>2</v>
      </c>
      <c r="E504">
        <v>31</v>
      </c>
      <c r="F504" s="5" t="s">
        <v>374</v>
      </c>
      <c r="G504">
        <v>4</v>
      </c>
      <c r="H504" s="11">
        <v>25</v>
      </c>
      <c r="I504" s="11">
        <v>100</v>
      </c>
      <c r="J504" t="s">
        <v>20</v>
      </c>
      <c r="K504" t="s">
        <v>1028</v>
      </c>
      <c r="L504" t="s">
        <v>1038</v>
      </c>
      <c r="M504" t="s">
        <v>1033</v>
      </c>
      <c r="N504">
        <v>7</v>
      </c>
      <c r="O504" t="s">
        <v>1046</v>
      </c>
    </row>
    <row r="505" spans="1:15" x14ac:dyDescent="0.25">
      <c r="A505">
        <v>456</v>
      </c>
      <c r="B505" s="6">
        <v>45213</v>
      </c>
      <c r="C505" s="5" t="s">
        <v>526</v>
      </c>
      <c r="D505" s="5" t="s">
        <v>2</v>
      </c>
      <c r="E505">
        <v>57</v>
      </c>
      <c r="F505" s="5" t="s">
        <v>374</v>
      </c>
      <c r="G505">
        <v>2</v>
      </c>
      <c r="H505" s="11">
        <v>30</v>
      </c>
      <c r="I505" s="11">
        <v>60</v>
      </c>
      <c r="J505" t="s">
        <v>24</v>
      </c>
      <c r="K505" t="s">
        <v>1030</v>
      </c>
      <c r="L505" t="s">
        <v>1038</v>
      </c>
      <c r="M505" t="s">
        <v>1047</v>
      </c>
      <c r="N505">
        <v>10</v>
      </c>
      <c r="O505" t="s">
        <v>1049</v>
      </c>
    </row>
    <row r="506" spans="1:15" x14ac:dyDescent="0.25">
      <c r="A506">
        <v>458</v>
      </c>
      <c r="B506" s="6">
        <v>45244</v>
      </c>
      <c r="C506" s="5" t="s">
        <v>527</v>
      </c>
      <c r="D506" s="5" t="s">
        <v>1</v>
      </c>
      <c r="E506">
        <v>39</v>
      </c>
      <c r="F506" s="5" t="s">
        <v>374</v>
      </c>
      <c r="G506">
        <v>4</v>
      </c>
      <c r="H506" s="11">
        <v>25</v>
      </c>
      <c r="I506" s="11">
        <v>100</v>
      </c>
      <c r="J506" t="s">
        <v>20</v>
      </c>
      <c r="K506" t="s">
        <v>1028</v>
      </c>
      <c r="L506" t="s">
        <v>1038</v>
      </c>
      <c r="M506" t="s">
        <v>1047</v>
      </c>
      <c r="N506">
        <v>11</v>
      </c>
      <c r="O506" t="s">
        <v>1048</v>
      </c>
    </row>
    <row r="507" spans="1:15" x14ac:dyDescent="0.25">
      <c r="A507">
        <v>462</v>
      </c>
      <c r="B507" s="6">
        <v>45017</v>
      </c>
      <c r="C507" s="5" t="s">
        <v>528</v>
      </c>
      <c r="D507" s="5" t="s">
        <v>2</v>
      </c>
      <c r="E507">
        <v>63</v>
      </c>
      <c r="F507" s="5" t="s">
        <v>374</v>
      </c>
      <c r="G507">
        <v>4</v>
      </c>
      <c r="H507" s="11">
        <v>300</v>
      </c>
      <c r="I507" s="11">
        <v>1200</v>
      </c>
      <c r="J507" t="s">
        <v>24</v>
      </c>
      <c r="K507" t="s">
        <v>1030</v>
      </c>
      <c r="L507" t="s">
        <v>1038</v>
      </c>
      <c r="M507" t="s">
        <v>1041</v>
      </c>
      <c r="N507">
        <v>4</v>
      </c>
      <c r="O507" t="s">
        <v>1042</v>
      </c>
    </row>
    <row r="508" spans="1:15" x14ac:dyDescent="0.25">
      <c r="A508">
        <v>464</v>
      </c>
      <c r="B508" s="6">
        <v>44939</v>
      </c>
      <c r="C508" s="5" t="s">
        <v>529</v>
      </c>
      <c r="D508" s="5" t="s">
        <v>2</v>
      </c>
      <c r="E508">
        <v>38</v>
      </c>
      <c r="F508" s="5" t="s">
        <v>374</v>
      </c>
      <c r="G508">
        <v>2</v>
      </c>
      <c r="H508" s="11">
        <v>300</v>
      </c>
      <c r="I508" s="11">
        <v>600</v>
      </c>
      <c r="J508" t="s">
        <v>20</v>
      </c>
      <c r="K508" t="s">
        <v>1028</v>
      </c>
      <c r="L508" t="s">
        <v>1038</v>
      </c>
      <c r="M508" t="s">
        <v>1039</v>
      </c>
      <c r="N508">
        <v>1</v>
      </c>
      <c r="O508" t="s">
        <v>1045</v>
      </c>
    </row>
    <row r="509" spans="1:15" x14ac:dyDescent="0.25">
      <c r="A509">
        <v>465</v>
      </c>
      <c r="B509" s="6">
        <v>45018</v>
      </c>
      <c r="C509" s="5" t="s">
        <v>530</v>
      </c>
      <c r="D509" s="5" t="s">
        <v>1</v>
      </c>
      <c r="E509">
        <v>43</v>
      </c>
      <c r="F509" s="5" t="s">
        <v>374</v>
      </c>
      <c r="G509">
        <v>3</v>
      </c>
      <c r="H509" s="11">
        <v>50</v>
      </c>
      <c r="I509" s="11">
        <v>150</v>
      </c>
      <c r="J509" t="s">
        <v>20</v>
      </c>
      <c r="K509" t="s">
        <v>1028</v>
      </c>
      <c r="L509" t="s">
        <v>1038</v>
      </c>
      <c r="M509" t="s">
        <v>1041</v>
      </c>
      <c r="N509">
        <v>4</v>
      </c>
      <c r="O509" t="s">
        <v>1042</v>
      </c>
    </row>
    <row r="510" spans="1:15" x14ac:dyDescent="0.25">
      <c r="A510">
        <v>466</v>
      </c>
      <c r="B510" s="6">
        <v>45097</v>
      </c>
      <c r="C510" s="5" t="s">
        <v>531</v>
      </c>
      <c r="D510" s="5" t="s">
        <v>2</v>
      </c>
      <c r="E510">
        <v>63</v>
      </c>
      <c r="F510" s="5" t="s">
        <v>374</v>
      </c>
      <c r="G510">
        <v>4</v>
      </c>
      <c r="H510" s="11">
        <v>25</v>
      </c>
      <c r="I510" s="11">
        <v>100</v>
      </c>
      <c r="J510" t="s">
        <v>24</v>
      </c>
      <c r="K510" t="s">
        <v>1030</v>
      </c>
      <c r="L510" t="s">
        <v>1038</v>
      </c>
      <c r="M510" t="s">
        <v>1041</v>
      </c>
      <c r="N510">
        <v>6</v>
      </c>
      <c r="O510" t="s">
        <v>1050</v>
      </c>
    </row>
    <row r="511" spans="1:15" x14ac:dyDescent="0.25">
      <c r="A511">
        <v>467</v>
      </c>
      <c r="B511" s="6">
        <v>45137</v>
      </c>
      <c r="C511" s="5" t="s">
        <v>532</v>
      </c>
      <c r="D511" s="5" t="s">
        <v>1</v>
      </c>
      <c r="E511">
        <v>53</v>
      </c>
      <c r="F511" s="5" t="s">
        <v>374</v>
      </c>
      <c r="G511">
        <v>3</v>
      </c>
      <c r="H511" s="11">
        <v>50</v>
      </c>
      <c r="I511" s="11">
        <v>150</v>
      </c>
      <c r="J511" t="s">
        <v>20</v>
      </c>
      <c r="K511" t="s">
        <v>1028</v>
      </c>
      <c r="L511" t="s">
        <v>1038</v>
      </c>
      <c r="M511" t="s">
        <v>1033</v>
      </c>
      <c r="N511">
        <v>7</v>
      </c>
      <c r="O511" t="s">
        <v>1046</v>
      </c>
    </row>
    <row r="512" spans="1:15" x14ac:dyDescent="0.25">
      <c r="A512">
        <v>468</v>
      </c>
      <c r="B512" s="6">
        <v>45269</v>
      </c>
      <c r="C512" s="5" t="s">
        <v>533</v>
      </c>
      <c r="D512" s="5" t="s">
        <v>2</v>
      </c>
      <c r="E512">
        <v>40</v>
      </c>
      <c r="F512" s="5" t="s">
        <v>374</v>
      </c>
      <c r="G512">
        <v>1</v>
      </c>
      <c r="H512" s="11">
        <v>25</v>
      </c>
      <c r="I512" s="11">
        <v>25</v>
      </c>
      <c r="J512" t="s">
        <v>20</v>
      </c>
      <c r="K512" t="s">
        <v>1028</v>
      </c>
      <c r="L512" t="s">
        <v>1038</v>
      </c>
      <c r="M512" t="s">
        <v>1047</v>
      </c>
      <c r="N512">
        <v>12</v>
      </c>
      <c r="O512" t="s">
        <v>1052</v>
      </c>
    </row>
    <row r="513" spans="1:15" x14ac:dyDescent="0.25">
      <c r="A513">
        <v>479</v>
      </c>
      <c r="B513" s="6">
        <v>45162</v>
      </c>
      <c r="C513" s="5" t="s">
        <v>534</v>
      </c>
      <c r="D513" s="5" t="s">
        <v>2</v>
      </c>
      <c r="E513">
        <v>52</v>
      </c>
      <c r="F513" s="5" t="s">
        <v>374</v>
      </c>
      <c r="G513">
        <v>4</v>
      </c>
      <c r="H513" s="11">
        <v>300</v>
      </c>
      <c r="I513" s="11">
        <v>1200</v>
      </c>
      <c r="J513" t="s">
        <v>20</v>
      </c>
      <c r="K513" t="s">
        <v>1028</v>
      </c>
      <c r="L513" t="s">
        <v>1038</v>
      </c>
      <c r="M513" t="s">
        <v>1033</v>
      </c>
      <c r="N513">
        <v>8</v>
      </c>
      <c r="O513" t="s">
        <v>1051</v>
      </c>
    </row>
    <row r="514" spans="1:15" x14ac:dyDescent="0.25">
      <c r="A514">
        <v>481</v>
      </c>
      <c r="B514" s="6">
        <v>45083</v>
      </c>
      <c r="C514" s="5" t="s">
        <v>535</v>
      </c>
      <c r="D514" s="5" t="s">
        <v>1</v>
      </c>
      <c r="E514">
        <v>43</v>
      </c>
      <c r="F514" s="5" t="s">
        <v>374</v>
      </c>
      <c r="G514">
        <v>4</v>
      </c>
      <c r="H514" s="11">
        <v>300</v>
      </c>
      <c r="I514" s="11">
        <v>1200</v>
      </c>
      <c r="J514" t="s">
        <v>20</v>
      </c>
      <c r="K514" t="s">
        <v>1028</v>
      </c>
      <c r="L514" t="s">
        <v>1038</v>
      </c>
      <c r="M514" t="s">
        <v>1041</v>
      </c>
      <c r="N514">
        <v>6</v>
      </c>
      <c r="O514" t="s">
        <v>1050</v>
      </c>
    </row>
    <row r="515" spans="1:15" x14ac:dyDescent="0.25">
      <c r="A515">
        <v>485</v>
      </c>
      <c r="B515" s="6">
        <v>45264</v>
      </c>
      <c r="C515" s="5" t="s">
        <v>536</v>
      </c>
      <c r="D515" s="5" t="s">
        <v>2</v>
      </c>
      <c r="E515">
        <v>24</v>
      </c>
      <c r="F515" s="5" t="s">
        <v>374</v>
      </c>
      <c r="G515">
        <v>1</v>
      </c>
      <c r="H515" s="11">
        <v>30</v>
      </c>
      <c r="I515" s="11">
        <v>30</v>
      </c>
      <c r="J515" t="s">
        <v>22</v>
      </c>
      <c r="K515" t="s">
        <v>1029</v>
      </c>
      <c r="L515" t="s">
        <v>1038</v>
      </c>
      <c r="M515" t="s">
        <v>1047</v>
      </c>
      <c r="N515">
        <v>12</v>
      </c>
      <c r="O515" t="s">
        <v>1052</v>
      </c>
    </row>
    <row r="516" spans="1:15" x14ac:dyDescent="0.25">
      <c r="A516">
        <v>486</v>
      </c>
      <c r="B516" s="6">
        <v>45025</v>
      </c>
      <c r="C516" s="5" t="s">
        <v>537</v>
      </c>
      <c r="D516" s="5" t="s">
        <v>1</v>
      </c>
      <c r="E516">
        <v>35</v>
      </c>
      <c r="F516" s="5" t="s">
        <v>374</v>
      </c>
      <c r="G516">
        <v>1</v>
      </c>
      <c r="H516" s="11">
        <v>25</v>
      </c>
      <c r="I516" s="11">
        <v>25</v>
      </c>
      <c r="J516" t="s">
        <v>20</v>
      </c>
      <c r="K516" t="s">
        <v>1028</v>
      </c>
      <c r="L516" t="s">
        <v>1038</v>
      </c>
      <c r="M516" t="s">
        <v>1041</v>
      </c>
      <c r="N516">
        <v>4</v>
      </c>
      <c r="O516" t="s">
        <v>1042</v>
      </c>
    </row>
    <row r="517" spans="1:15" x14ac:dyDescent="0.25">
      <c r="A517">
        <v>488</v>
      </c>
      <c r="B517" s="6">
        <v>45095</v>
      </c>
      <c r="C517" s="5" t="s">
        <v>538</v>
      </c>
      <c r="D517" s="5" t="s">
        <v>1</v>
      </c>
      <c r="E517">
        <v>51</v>
      </c>
      <c r="F517" s="5" t="s">
        <v>374</v>
      </c>
      <c r="G517">
        <v>3</v>
      </c>
      <c r="H517" s="11">
        <v>300</v>
      </c>
      <c r="I517" s="11">
        <v>900</v>
      </c>
      <c r="J517" t="s">
        <v>20</v>
      </c>
      <c r="K517" t="s">
        <v>1028</v>
      </c>
      <c r="L517" t="s">
        <v>1038</v>
      </c>
      <c r="M517" t="s">
        <v>1041</v>
      </c>
      <c r="N517">
        <v>6</v>
      </c>
      <c r="O517" t="s">
        <v>1050</v>
      </c>
    </row>
    <row r="518" spans="1:15" x14ac:dyDescent="0.25">
      <c r="A518">
        <v>489</v>
      </c>
      <c r="B518" s="6">
        <v>45069</v>
      </c>
      <c r="C518" s="5" t="s">
        <v>539</v>
      </c>
      <c r="D518" s="5" t="s">
        <v>2</v>
      </c>
      <c r="E518">
        <v>44</v>
      </c>
      <c r="F518" s="5" t="s">
        <v>374</v>
      </c>
      <c r="G518">
        <v>1</v>
      </c>
      <c r="H518" s="11">
        <v>30</v>
      </c>
      <c r="I518" s="11">
        <v>30</v>
      </c>
      <c r="J518" t="s">
        <v>20</v>
      </c>
      <c r="K518" t="s">
        <v>1028</v>
      </c>
      <c r="L518" t="s">
        <v>1038</v>
      </c>
      <c r="M518" t="s">
        <v>1041</v>
      </c>
      <c r="N518">
        <v>5</v>
      </c>
      <c r="O518" t="s">
        <v>1032</v>
      </c>
    </row>
    <row r="519" spans="1:15" x14ac:dyDescent="0.25">
      <c r="A519">
        <v>491</v>
      </c>
      <c r="B519" s="6">
        <v>45069</v>
      </c>
      <c r="C519" s="5" t="s">
        <v>540</v>
      </c>
      <c r="D519" s="5" t="s">
        <v>1</v>
      </c>
      <c r="E519">
        <v>60</v>
      </c>
      <c r="F519" s="5" t="s">
        <v>374</v>
      </c>
      <c r="G519">
        <v>3</v>
      </c>
      <c r="H519" s="11">
        <v>300</v>
      </c>
      <c r="I519" s="11">
        <v>900</v>
      </c>
      <c r="J519" t="s">
        <v>24</v>
      </c>
      <c r="K519" t="s">
        <v>1030</v>
      </c>
      <c r="L519" t="s">
        <v>1038</v>
      </c>
      <c r="M519" t="s">
        <v>1041</v>
      </c>
      <c r="N519">
        <v>5</v>
      </c>
      <c r="O519" t="s">
        <v>1032</v>
      </c>
    </row>
    <row r="520" spans="1:15" x14ac:dyDescent="0.25">
      <c r="A520">
        <v>501</v>
      </c>
      <c r="B520" s="6">
        <v>45060</v>
      </c>
      <c r="C520" s="5" t="s">
        <v>541</v>
      </c>
      <c r="D520" s="5" t="s">
        <v>2</v>
      </c>
      <c r="E520">
        <v>39</v>
      </c>
      <c r="F520" s="5" t="s">
        <v>374</v>
      </c>
      <c r="G520">
        <v>2</v>
      </c>
      <c r="H520" s="11">
        <v>30</v>
      </c>
      <c r="I520" s="11">
        <v>60</v>
      </c>
      <c r="J520" t="s">
        <v>20</v>
      </c>
      <c r="K520" t="s">
        <v>1028</v>
      </c>
      <c r="L520" t="s">
        <v>1038</v>
      </c>
      <c r="M520" t="s">
        <v>1041</v>
      </c>
      <c r="N520">
        <v>5</v>
      </c>
      <c r="O520" t="s">
        <v>1032</v>
      </c>
    </row>
    <row r="521" spans="1:15" x14ac:dyDescent="0.25">
      <c r="A521">
        <v>502</v>
      </c>
      <c r="B521" s="6">
        <v>45018</v>
      </c>
      <c r="C521" s="5" t="s">
        <v>542</v>
      </c>
      <c r="D521" s="5" t="s">
        <v>2</v>
      </c>
      <c r="E521">
        <v>43</v>
      </c>
      <c r="F521" s="5" t="s">
        <v>374</v>
      </c>
      <c r="G521">
        <v>3</v>
      </c>
      <c r="H521" s="11">
        <v>50</v>
      </c>
      <c r="I521" s="11">
        <v>150</v>
      </c>
      <c r="J521" t="s">
        <v>20</v>
      </c>
      <c r="K521" t="s">
        <v>1028</v>
      </c>
      <c r="L521" t="s">
        <v>1038</v>
      </c>
      <c r="M521" t="s">
        <v>1041</v>
      </c>
      <c r="N521">
        <v>4</v>
      </c>
      <c r="O521" t="s">
        <v>1042</v>
      </c>
    </row>
    <row r="522" spans="1:15" x14ac:dyDescent="0.25">
      <c r="A522">
        <v>507</v>
      </c>
      <c r="B522" s="6">
        <v>45232</v>
      </c>
      <c r="C522" s="5" t="s">
        <v>543</v>
      </c>
      <c r="D522" s="5" t="s">
        <v>1</v>
      </c>
      <c r="E522">
        <v>37</v>
      </c>
      <c r="F522" s="5" t="s">
        <v>374</v>
      </c>
      <c r="G522">
        <v>3</v>
      </c>
      <c r="H522" s="11">
        <v>500</v>
      </c>
      <c r="I522" s="11">
        <v>1500</v>
      </c>
      <c r="J522" t="s">
        <v>20</v>
      </c>
      <c r="K522" t="s">
        <v>1028</v>
      </c>
      <c r="L522" t="s">
        <v>1038</v>
      </c>
      <c r="M522" t="s">
        <v>1047</v>
      </c>
      <c r="N522">
        <v>11</v>
      </c>
      <c r="O522" t="s">
        <v>1048</v>
      </c>
    </row>
    <row r="523" spans="1:15" x14ac:dyDescent="0.25">
      <c r="A523">
        <v>509</v>
      </c>
      <c r="B523" s="6">
        <v>45103</v>
      </c>
      <c r="C523" s="5" t="s">
        <v>544</v>
      </c>
      <c r="D523" s="5" t="s">
        <v>1</v>
      </c>
      <c r="E523">
        <v>37</v>
      </c>
      <c r="F523" s="5" t="s">
        <v>374</v>
      </c>
      <c r="G523">
        <v>3</v>
      </c>
      <c r="H523" s="11">
        <v>300</v>
      </c>
      <c r="I523" s="11">
        <v>900</v>
      </c>
      <c r="J523" t="s">
        <v>20</v>
      </c>
      <c r="K523" t="s">
        <v>1028</v>
      </c>
      <c r="L523" t="s">
        <v>1038</v>
      </c>
      <c r="M523" t="s">
        <v>1041</v>
      </c>
      <c r="N523">
        <v>6</v>
      </c>
      <c r="O523" t="s">
        <v>1050</v>
      </c>
    </row>
    <row r="524" spans="1:15" x14ac:dyDescent="0.25">
      <c r="A524">
        <v>513</v>
      </c>
      <c r="B524" s="6">
        <v>45188</v>
      </c>
      <c r="C524" s="5" t="s">
        <v>545</v>
      </c>
      <c r="D524" s="5" t="s">
        <v>2</v>
      </c>
      <c r="E524">
        <v>24</v>
      </c>
      <c r="F524" s="5" t="s">
        <v>374</v>
      </c>
      <c r="G524">
        <v>4</v>
      </c>
      <c r="H524" s="11">
        <v>25</v>
      </c>
      <c r="I524" s="11">
        <v>100</v>
      </c>
      <c r="J524" t="s">
        <v>22</v>
      </c>
      <c r="K524" t="s">
        <v>1029</v>
      </c>
      <c r="L524" t="s">
        <v>1038</v>
      </c>
      <c r="M524" t="s">
        <v>1033</v>
      </c>
      <c r="N524">
        <v>9</v>
      </c>
      <c r="O524" t="s">
        <v>1043</v>
      </c>
    </row>
    <row r="525" spans="1:15" x14ac:dyDescent="0.25">
      <c r="A525">
        <v>514</v>
      </c>
      <c r="B525" s="6">
        <v>44986</v>
      </c>
      <c r="C525" s="5" t="s">
        <v>546</v>
      </c>
      <c r="D525" s="5" t="s">
        <v>1</v>
      </c>
      <c r="E525">
        <v>18</v>
      </c>
      <c r="F525" s="5" t="s">
        <v>374</v>
      </c>
      <c r="G525">
        <v>1</v>
      </c>
      <c r="H525" s="11">
        <v>300</v>
      </c>
      <c r="I525" s="11">
        <v>300</v>
      </c>
      <c r="J525" t="s">
        <v>22</v>
      </c>
      <c r="K525" t="s">
        <v>1029</v>
      </c>
      <c r="L525" t="s">
        <v>1038</v>
      </c>
      <c r="M525" t="s">
        <v>1039</v>
      </c>
      <c r="N525">
        <v>3</v>
      </c>
      <c r="O525" t="s">
        <v>1040</v>
      </c>
    </row>
    <row r="526" spans="1:15" x14ac:dyDescent="0.25">
      <c r="A526">
        <v>519</v>
      </c>
      <c r="B526" s="6">
        <v>44949</v>
      </c>
      <c r="C526" s="5" t="s">
        <v>547</v>
      </c>
      <c r="D526" s="5" t="s">
        <v>1</v>
      </c>
      <c r="E526">
        <v>36</v>
      </c>
      <c r="F526" s="5" t="s">
        <v>374</v>
      </c>
      <c r="G526">
        <v>4</v>
      </c>
      <c r="H526" s="11">
        <v>30</v>
      </c>
      <c r="I526" s="11">
        <v>120</v>
      </c>
      <c r="J526" t="s">
        <v>20</v>
      </c>
      <c r="K526" t="s">
        <v>1028</v>
      </c>
      <c r="L526" t="s">
        <v>1038</v>
      </c>
      <c r="M526" t="s">
        <v>1039</v>
      </c>
      <c r="N526">
        <v>1</v>
      </c>
      <c r="O526" t="s">
        <v>1045</v>
      </c>
    </row>
    <row r="527" spans="1:15" x14ac:dyDescent="0.25">
      <c r="A527">
        <v>520</v>
      </c>
      <c r="B527" s="6">
        <v>45289</v>
      </c>
      <c r="C527" s="5" t="s">
        <v>548</v>
      </c>
      <c r="D527" s="5" t="s">
        <v>1</v>
      </c>
      <c r="E527">
        <v>49</v>
      </c>
      <c r="F527" s="5" t="s">
        <v>374</v>
      </c>
      <c r="G527">
        <v>4</v>
      </c>
      <c r="H527" s="11">
        <v>25</v>
      </c>
      <c r="I527" s="11">
        <v>100</v>
      </c>
      <c r="J527" t="s">
        <v>20</v>
      </c>
      <c r="K527" t="s">
        <v>1028</v>
      </c>
      <c r="L527" t="s">
        <v>1038</v>
      </c>
      <c r="M527" t="s">
        <v>1047</v>
      </c>
      <c r="N527">
        <v>12</v>
      </c>
      <c r="O527" t="s">
        <v>1052</v>
      </c>
    </row>
    <row r="528" spans="1:15" x14ac:dyDescent="0.25">
      <c r="A528">
        <v>523</v>
      </c>
      <c r="B528" s="6">
        <v>45193</v>
      </c>
      <c r="C528" s="5" t="s">
        <v>549</v>
      </c>
      <c r="D528" s="5" t="s">
        <v>1</v>
      </c>
      <c r="E528">
        <v>62</v>
      </c>
      <c r="F528" s="5" t="s">
        <v>374</v>
      </c>
      <c r="G528">
        <v>1</v>
      </c>
      <c r="H528" s="11">
        <v>300</v>
      </c>
      <c r="I528" s="11">
        <v>300</v>
      </c>
      <c r="J528" t="s">
        <v>24</v>
      </c>
      <c r="K528" t="s">
        <v>1030</v>
      </c>
      <c r="L528" t="s">
        <v>1038</v>
      </c>
      <c r="M528" t="s">
        <v>1033</v>
      </c>
      <c r="N528">
        <v>9</v>
      </c>
      <c r="O528" t="s">
        <v>1043</v>
      </c>
    </row>
    <row r="529" spans="1:15" x14ac:dyDescent="0.25">
      <c r="A529">
        <v>530</v>
      </c>
      <c r="B529" s="6">
        <v>44962</v>
      </c>
      <c r="C529" s="5" t="s">
        <v>550</v>
      </c>
      <c r="D529" s="5" t="s">
        <v>1</v>
      </c>
      <c r="E529">
        <v>18</v>
      </c>
      <c r="F529" s="5" t="s">
        <v>374</v>
      </c>
      <c r="G529">
        <v>4</v>
      </c>
      <c r="H529" s="11">
        <v>30</v>
      </c>
      <c r="I529" s="11">
        <v>120</v>
      </c>
      <c r="J529" t="s">
        <v>22</v>
      </c>
      <c r="K529" t="s">
        <v>1029</v>
      </c>
      <c r="L529" t="s">
        <v>1038</v>
      </c>
      <c r="M529" t="s">
        <v>1039</v>
      </c>
      <c r="N529">
        <v>2</v>
      </c>
      <c r="O529" t="s">
        <v>1044</v>
      </c>
    </row>
    <row r="530" spans="1:15" x14ac:dyDescent="0.25">
      <c r="A530">
        <v>531</v>
      </c>
      <c r="B530" s="6">
        <v>45267</v>
      </c>
      <c r="C530" s="5" t="s">
        <v>551</v>
      </c>
      <c r="D530" s="5" t="s">
        <v>2</v>
      </c>
      <c r="E530">
        <v>31</v>
      </c>
      <c r="F530" s="5" t="s">
        <v>374</v>
      </c>
      <c r="G530">
        <v>1</v>
      </c>
      <c r="H530" s="11">
        <v>500</v>
      </c>
      <c r="I530" s="11">
        <v>500</v>
      </c>
      <c r="J530" t="s">
        <v>20</v>
      </c>
      <c r="K530" t="s">
        <v>1028</v>
      </c>
      <c r="L530" t="s">
        <v>1038</v>
      </c>
      <c r="M530" t="s">
        <v>1047</v>
      </c>
      <c r="N530">
        <v>12</v>
      </c>
      <c r="O530" t="s">
        <v>1052</v>
      </c>
    </row>
    <row r="531" spans="1:15" x14ac:dyDescent="0.25">
      <c r="A531">
        <v>533</v>
      </c>
      <c r="B531" s="6">
        <v>45246</v>
      </c>
      <c r="C531" s="5" t="s">
        <v>552</v>
      </c>
      <c r="D531" s="5" t="s">
        <v>2</v>
      </c>
      <c r="E531">
        <v>19</v>
      </c>
      <c r="F531" s="5" t="s">
        <v>374</v>
      </c>
      <c r="G531">
        <v>3</v>
      </c>
      <c r="H531" s="11">
        <v>500</v>
      </c>
      <c r="I531" s="11">
        <v>1500</v>
      </c>
      <c r="J531" t="s">
        <v>22</v>
      </c>
      <c r="K531" t="s">
        <v>1029</v>
      </c>
      <c r="L531" t="s">
        <v>1038</v>
      </c>
      <c r="M531" t="s">
        <v>1047</v>
      </c>
      <c r="N531">
        <v>11</v>
      </c>
      <c r="O531" t="s">
        <v>1048</v>
      </c>
    </row>
    <row r="532" spans="1:15" x14ac:dyDescent="0.25">
      <c r="A532">
        <v>540</v>
      </c>
      <c r="B532" s="6">
        <v>45268</v>
      </c>
      <c r="C532" s="5" t="s">
        <v>553</v>
      </c>
      <c r="D532" s="5" t="s">
        <v>1</v>
      </c>
      <c r="E532">
        <v>46</v>
      </c>
      <c r="F532" s="5" t="s">
        <v>374</v>
      </c>
      <c r="G532">
        <v>3</v>
      </c>
      <c r="H532" s="11">
        <v>300</v>
      </c>
      <c r="I532" s="11">
        <v>900</v>
      </c>
      <c r="J532" t="s">
        <v>20</v>
      </c>
      <c r="K532" t="s">
        <v>1028</v>
      </c>
      <c r="L532" t="s">
        <v>1038</v>
      </c>
      <c r="M532" t="s">
        <v>1047</v>
      </c>
      <c r="N532">
        <v>12</v>
      </c>
      <c r="O532" t="s">
        <v>1052</v>
      </c>
    </row>
    <row r="533" spans="1:15" x14ac:dyDescent="0.25">
      <c r="A533">
        <v>544</v>
      </c>
      <c r="B533" s="6">
        <v>45283</v>
      </c>
      <c r="C533" s="5" t="s">
        <v>554</v>
      </c>
      <c r="D533" s="5" t="s">
        <v>1</v>
      </c>
      <c r="E533">
        <v>27</v>
      </c>
      <c r="F533" s="5" t="s">
        <v>374</v>
      </c>
      <c r="G533">
        <v>1</v>
      </c>
      <c r="H533" s="11">
        <v>25</v>
      </c>
      <c r="I533" s="11">
        <v>25</v>
      </c>
      <c r="J533" t="s">
        <v>22</v>
      </c>
      <c r="K533" t="s">
        <v>1029</v>
      </c>
      <c r="L533" t="s">
        <v>1038</v>
      </c>
      <c r="M533" t="s">
        <v>1047</v>
      </c>
      <c r="N533">
        <v>12</v>
      </c>
      <c r="O533" t="s">
        <v>1052</v>
      </c>
    </row>
    <row r="534" spans="1:15" x14ac:dyDescent="0.25">
      <c r="A534">
        <v>546</v>
      </c>
      <c r="B534" s="6">
        <v>45210</v>
      </c>
      <c r="C534" s="5" t="s">
        <v>555</v>
      </c>
      <c r="D534" s="5" t="s">
        <v>1</v>
      </c>
      <c r="E534">
        <v>36</v>
      </c>
      <c r="F534" s="5" t="s">
        <v>374</v>
      </c>
      <c r="G534">
        <v>4</v>
      </c>
      <c r="H534" s="11">
        <v>50</v>
      </c>
      <c r="I534" s="11">
        <v>200</v>
      </c>
      <c r="J534" t="s">
        <v>20</v>
      </c>
      <c r="K534" t="s">
        <v>1028</v>
      </c>
      <c r="L534" t="s">
        <v>1038</v>
      </c>
      <c r="M534" t="s">
        <v>1047</v>
      </c>
      <c r="N534">
        <v>10</v>
      </c>
      <c r="O534" t="s">
        <v>1049</v>
      </c>
    </row>
    <row r="535" spans="1:15" x14ac:dyDescent="0.25">
      <c r="A535">
        <v>551</v>
      </c>
      <c r="B535" s="6">
        <v>45121</v>
      </c>
      <c r="C535" s="5" t="s">
        <v>556</v>
      </c>
      <c r="D535" s="5" t="s">
        <v>2</v>
      </c>
      <c r="E535">
        <v>45</v>
      </c>
      <c r="F535" s="5" t="s">
        <v>374</v>
      </c>
      <c r="G535">
        <v>3</v>
      </c>
      <c r="H535" s="11">
        <v>300</v>
      </c>
      <c r="I535" s="11">
        <v>900</v>
      </c>
      <c r="J535" t="s">
        <v>20</v>
      </c>
      <c r="K535" t="s">
        <v>1028</v>
      </c>
      <c r="L535" t="s">
        <v>1038</v>
      </c>
      <c r="M535" t="s">
        <v>1033</v>
      </c>
      <c r="N535">
        <v>7</v>
      </c>
      <c r="O535" t="s">
        <v>1046</v>
      </c>
    </row>
    <row r="536" spans="1:15" x14ac:dyDescent="0.25">
      <c r="A536">
        <v>552</v>
      </c>
      <c r="B536" s="6">
        <v>45273</v>
      </c>
      <c r="C536" s="5" t="s">
        <v>557</v>
      </c>
      <c r="D536" s="5" t="s">
        <v>1</v>
      </c>
      <c r="E536">
        <v>49</v>
      </c>
      <c r="F536" s="5" t="s">
        <v>374</v>
      </c>
      <c r="G536">
        <v>3</v>
      </c>
      <c r="H536" s="11">
        <v>25</v>
      </c>
      <c r="I536" s="11">
        <v>75</v>
      </c>
      <c r="J536" t="s">
        <v>20</v>
      </c>
      <c r="K536" t="s">
        <v>1028</v>
      </c>
      <c r="L536" t="s">
        <v>1038</v>
      </c>
      <c r="M536" t="s">
        <v>1047</v>
      </c>
      <c r="N536">
        <v>12</v>
      </c>
      <c r="O536" t="s">
        <v>1052</v>
      </c>
    </row>
    <row r="537" spans="1:15" x14ac:dyDescent="0.25">
      <c r="A537">
        <v>556</v>
      </c>
      <c r="B537" s="6">
        <v>45081</v>
      </c>
      <c r="C537" s="5" t="s">
        <v>558</v>
      </c>
      <c r="D537" s="5" t="s">
        <v>1</v>
      </c>
      <c r="E537">
        <v>18</v>
      </c>
      <c r="F537" s="5" t="s">
        <v>374</v>
      </c>
      <c r="G537">
        <v>1</v>
      </c>
      <c r="H537" s="11">
        <v>50</v>
      </c>
      <c r="I537" s="11">
        <v>50</v>
      </c>
      <c r="J537" t="s">
        <v>22</v>
      </c>
      <c r="K537" t="s">
        <v>1029</v>
      </c>
      <c r="L537" t="s">
        <v>1038</v>
      </c>
      <c r="M537" t="s">
        <v>1041</v>
      </c>
      <c r="N537">
        <v>6</v>
      </c>
      <c r="O537" t="s">
        <v>1050</v>
      </c>
    </row>
    <row r="538" spans="1:15" x14ac:dyDescent="0.25">
      <c r="A538">
        <v>560</v>
      </c>
      <c r="B538" s="6">
        <v>45082</v>
      </c>
      <c r="C538" s="5" t="s">
        <v>559</v>
      </c>
      <c r="D538" s="5" t="s">
        <v>1</v>
      </c>
      <c r="E538">
        <v>25</v>
      </c>
      <c r="F538" s="5" t="s">
        <v>374</v>
      </c>
      <c r="G538">
        <v>1</v>
      </c>
      <c r="H538" s="11">
        <v>50</v>
      </c>
      <c r="I538" s="11">
        <v>50</v>
      </c>
      <c r="J538" t="s">
        <v>22</v>
      </c>
      <c r="K538" t="s">
        <v>1029</v>
      </c>
      <c r="L538" t="s">
        <v>1038</v>
      </c>
      <c r="M538" t="s">
        <v>1041</v>
      </c>
      <c r="N538">
        <v>6</v>
      </c>
      <c r="O538" t="s">
        <v>1050</v>
      </c>
    </row>
    <row r="539" spans="1:15" x14ac:dyDescent="0.25">
      <c r="A539">
        <v>562</v>
      </c>
      <c r="B539" s="6">
        <v>45034</v>
      </c>
      <c r="C539" s="5" t="s">
        <v>560</v>
      </c>
      <c r="D539" s="5" t="s">
        <v>2</v>
      </c>
      <c r="E539">
        <v>54</v>
      </c>
      <c r="F539" s="5" t="s">
        <v>374</v>
      </c>
      <c r="G539">
        <v>2</v>
      </c>
      <c r="H539" s="11">
        <v>25</v>
      </c>
      <c r="I539" s="11">
        <v>50</v>
      </c>
      <c r="J539" t="s">
        <v>20</v>
      </c>
      <c r="K539" t="s">
        <v>1028</v>
      </c>
      <c r="L539" t="s">
        <v>1038</v>
      </c>
      <c r="M539" t="s">
        <v>1041</v>
      </c>
      <c r="N539">
        <v>4</v>
      </c>
      <c r="O539" t="s">
        <v>1042</v>
      </c>
    </row>
    <row r="540" spans="1:15" x14ac:dyDescent="0.25">
      <c r="A540">
        <v>564</v>
      </c>
      <c r="B540" s="6">
        <v>45223</v>
      </c>
      <c r="C540" s="5" t="s">
        <v>561</v>
      </c>
      <c r="D540" s="5" t="s">
        <v>2</v>
      </c>
      <c r="E540">
        <v>50</v>
      </c>
      <c r="F540" s="5" t="s">
        <v>374</v>
      </c>
      <c r="G540">
        <v>2</v>
      </c>
      <c r="H540" s="11">
        <v>50</v>
      </c>
      <c r="I540" s="11">
        <v>100</v>
      </c>
      <c r="J540" t="s">
        <v>20</v>
      </c>
      <c r="K540" t="s">
        <v>1028</v>
      </c>
      <c r="L540" t="s">
        <v>1038</v>
      </c>
      <c r="M540" t="s">
        <v>1047</v>
      </c>
      <c r="N540">
        <v>10</v>
      </c>
      <c r="O540" t="s">
        <v>1049</v>
      </c>
    </row>
    <row r="541" spans="1:15" x14ac:dyDescent="0.25">
      <c r="A541">
        <v>568</v>
      </c>
      <c r="B541" s="6">
        <v>45165</v>
      </c>
      <c r="C541" s="5" t="s">
        <v>562</v>
      </c>
      <c r="D541" s="5" t="s">
        <v>1</v>
      </c>
      <c r="E541">
        <v>51</v>
      </c>
      <c r="F541" s="5" t="s">
        <v>374</v>
      </c>
      <c r="G541">
        <v>1</v>
      </c>
      <c r="H541" s="11">
        <v>300</v>
      </c>
      <c r="I541" s="11">
        <v>300</v>
      </c>
      <c r="J541" t="s">
        <v>20</v>
      </c>
      <c r="K541" t="s">
        <v>1028</v>
      </c>
      <c r="L541" t="s">
        <v>1038</v>
      </c>
      <c r="M541" t="s">
        <v>1033</v>
      </c>
      <c r="N541">
        <v>8</v>
      </c>
      <c r="O541" t="s">
        <v>1051</v>
      </c>
    </row>
    <row r="542" spans="1:15" x14ac:dyDescent="0.25">
      <c r="A542">
        <v>569</v>
      </c>
      <c r="B542" s="6">
        <v>45153</v>
      </c>
      <c r="C542" s="5" t="s">
        <v>563</v>
      </c>
      <c r="D542" s="5" t="s">
        <v>2</v>
      </c>
      <c r="E542">
        <v>52</v>
      </c>
      <c r="F542" s="5" t="s">
        <v>374</v>
      </c>
      <c r="G542">
        <v>4</v>
      </c>
      <c r="H542" s="11">
        <v>50</v>
      </c>
      <c r="I542" s="11">
        <v>200</v>
      </c>
      <c r="J542" t="s">
        <v>20</v>
      </c>
      <c r="K542" t="s">
        <v>1028</v>
      </c>
      <c r="L542" t="s">
        <v>1038</v>
      </c>
      <c r="M542" t="s">
        <v>1033</v>
      </c>
      <c r="N542">
        <v>8</v>
      </c>
      <c r="O542" t="s">
        <v>1051</v>
      </c>
    </row>
    <row r="543" spans="1:15" x14ac:dyDescent="0.25">
      <c r="A543">
        <v>571</v>
      </c>
      <c r="B543" s="6">
        <v>45272</v>
      </c>
      <c r="C543" s="5" t="s">
        <v>564</v>
      </c>
      <c r="D543" s="5" t="s">
        <v>1</v>
      </c>
      <c r="E543">
        <v>41</v>
      </c>
      <c r="F543" s="5" t="s">
        <v>374</v>
      </c>
      <c r="G543">
        <v>1</v>
      </c>
      <c r="H543" s="11">
        <v>50</v>
      </c>
      <c r="I543" s="11">
        <v>50</v>
      </c>
      <c r="J543" t="s">
        <v>20</v>
      </c>
      <c r="K543" t="s">
        <v>1028</v>
      </c>
      <c r="L543" t="s">
        <v>1038</v>
      </c>
      <c r="M543" t="s">
        <v>1047</v>
      </c>
      <c r="N543">
        <v>12</v>
      </c>
      <c r="O543" t="s">
        <v>1052</v>
      </c>
    </row>
    <row r="544" spans="1:15" x14ac:dyDescent="0.25">
      <c r="A544">
        <v>574</v>
      </c>
      <c r="B544" s="6">
        <v>45169</v>
      </c>
      <c r="C544" s="5" t="s">
        <v>565</v>
      </c>
      <c r="D544" s="5" t="s">
        <v>1</v>
      </c>
      <c r="E544">
        <v>63</v>
      </c>
      <c r="F544" s="5" t="s">
        <v>374</v>
      </c>
      <c r="G544">
        <v>2</v>
      </c>
      <c r="H544" s="11">
        <v>25</v>
      </c>
      <c r="I544" s="11">
        <v>50</v>
      </c>
      <c r="J544" t="s">
        <v>24</v>
      </c>
      <c r="K544" t="s">
        <v>1030</v>
      </c>
      <c r="L544" t="s">
        <v>1038</v>
      </c>
      <c r="M544" t="s">
        <v>1033</v>
      </c>
      <c r="N544">
        <v>8</v>
      </c>
      <c r="O544" t="s">
        <v>1051</v>
      </c>
    </row>
    <row r="545" spans="1:15" x14ac:dyDescent="0.25">
      <c r="A545">
        <v>579</v>
      </c>
      <c r="B545" s="6">
        <v>45190</v>
      </c>
      <c r="C545" s="5" t="s">
        <v>566</v>
      </c>
      <c r="D545" s="5" t="s">
        <v>1</v>
      </c>
      <c r="E545">
        <v>38</v>
      </c>
      <c r="F545" s="5" t="s">
        <v>374</v>
      </c>
      <c r="G545">
        <v>1</v>
      </c>
      <c r="H545" s="11">
        <v>30</v>
      </c>
      <c r="I545" s="11">
        <v>30</v>
      </c>
      <c r="J545" t="s">
        <v>20</v>
      </c>
      <c r="K545" t="s">
        <v>1028</v>
      </c>
      <c r="L545" t="s">
        <v>1038</v>
      </c>
      <c r="M545" t="s">
        <v>1033</v>
      </c>
      <c r="N545">
        <v>9</v>
      </c>
      <c r="O545" t="s">
        <v>1043</v>
      </c>
    </row>
    <row r="546" spans="1:15" x14ac:dyDescent="0.25">
      <c r="A546">
        <v>583</v>
      </c>
      <c r="B546" s="6">
        <v>45098</v>
      </c>
      <c r="C546" s="5" t="s">
        <v>567</v>
      </c>
      <c r="D546" s="5" t="s">
        <v>1</v>
      </c>
      <c r="E546">
        <v>24</v>
      </c>
      <c r="F546" s="5" t="s">
        <v>374</v>
      </c>
      <c r="G546">
        <v>4</v>
      </c>
      <c r="H546" s="11">
        <v>25</v>
      </c>
      <c r="I546" s="11">
        <v>100</v>
      </c>
      <c r="J546" t="s">
        <v>22</v>
      </c>
      <c r="K546" t="s">
        <v>1029</v>
      </c>
      <c r="L546" t="s">
        <v>1038</v>
      </c>
      <c r="M546" t="s">
        <v>1041</v>
      </c>
      <c r="N546">
        <v>6</v>
      </c>
      <c r="O546" t="s">
        <v>1050</v>
      </c>
    </row>
    <row r="547" spans="1:15" x14ac:dyDescent="0.25">
      <c r="A547">
        <v>586</v>
      </c>
      <c r="B547" s="6">
        <v>45271</v>
      </c>
      <c r="C547" s="5" t="s">
        <v>568</v>
      </c>
      <c r="D547" s="5" t="s">
        <v>2</v>
      </c>
      <c r="E547">
        <v>50</v>
      </c>
      <c r="F547" s="5" t="s">
        <v>374</v>
      </c>
      <c r="G547">
        <v>1</v>
      </c>
      <c r="H547" s="11">
        <v>50</v>
      </c>
      <c r="I547" s="11">
        <v>50</v>
      </c>
      <c r="J547" t="s">
        <v>20</v>
      </c>
      <c r="K547" t="s">
        <v>1028</v>
      </c>
      <c r="L547" t="s">
        <v>1038</v>
      </c>
      <c r="M547" t="s">
        <v>1047</v>
      </c>
      <c r="N547">
        <v>12</v>
      </c>
      <c r="O547" t="s">
        <v>1052</v>
      </c>
    </row>
    <row r="548" spans="1:15" x14ac:dyDescent="0.25">
      <c r="A548">
        <v>588</v>
      </c>
      <c r="B548" s="6">
        <v>45042</v>
      </c>
      <c r="C548" s="5" t="s">
        <v>569</v>
      </c>
      <c r="D548" s="5" t="s">
        <v>2</v>
      </c>
      <c r="E548">
        <v>38</v>
      </c>
      <c r="F548" s="5" t="s">
        <v>374</v>
      </c>
      <c r="G548">
        <v>2</v>
      </c>
      <c r="H548" s="11">
        <v>30</v>
      </c>
      <c r="I548" s="11">
        <v>60</v>
      </c>
      <c r="J548" t="s">
        <v>20</v>
      </c>
      <c r="K548" t="s">
        <v>1028</v>
      </c>
      <c r="L548" t="s">
        <v>1038</v>
      </c>
      <c r="M548" t="s">
        <v>1041</v>
      </c>
      <c r="N548">
        <v>4</v>
      </c>
      <c r="O548" t="s">
        <v>1042</v>
      </c>
    </row>
    <row r="549" spans="1:15" x14ac:dyDescent="0.25">
      <c r="A549">
        <v>591</v>
      </c>
      <c r="B549" s="6">
        <v>44939</v>
      </c>
      <c r="C549" s="5" t="s">
        <v>570</v>
      </c>
      <c r="D549" s="5" t="s">
        <v>2</v>
      </c>
      <c r="E549">
        <v>53</v>
      </c>
      <c r="F549" s="5" t="s">
        <v>374</v>
      </c>
      <c r="G549">
        <v>4</v>
      </c>
      <c r="H549" s="11">
        <v>25</v>
      </c>
      <c r="I549" s="11">
        <v>100</v>
      </c>
      <c r="J549" t="s">
        <v>20</v>
      </c>
      <c r="K549" t="s">
        <v>1028</v>
      </c>
      <c r="L549" t="s">
        <v>1038</v>
      </c>
      <c r="M549" t="s">
        <v>1039</v>
      </c>
      <c r="N549">
        <v>1</v>
      </c>
      <c r="O549" t="s">
        <v>1045</v>
      </c>
    </row>
    <row r="550" spans="1:15" x14ac:dyDescent="0.25">
      <c r="A550">
        <v>593</v>
      </c>
      <c r="B550" s="6">
        <v>45052</v>
      </c>
      <c r="C550" s="5" t="s">
        <v>571</v>
      </c>
      <c r="D550" s="5" t="s">
        <v>2</v>
      </c>
      <c r="E550">
        <v>35</v>
      </c>
      <c r="F550" s="5" t="s">
        <v>374</v>
      </c>
      <c r="G550">
        <v>2</v>
      </c>
      <c r="H550" s="11">
        <v>30</v>
      </c>
      <c r="I550" s="11">
        <v>60</v>
      </c>
      <c r="J550" t="s">
        <v>20</v>
      </c>
      <c r="K550" t="s">
        <v>1028</v>
      </c>
      <c r="L550" t="s">
        <v>1038</v>
      </c>
      <c r="M550" t="s">
        <v>1041</v>
      </c>
      <c r="N550">
        <v>5</v>
      </c>
      <c r="O550" t="s">
        <v>1032</v>
      </c>
    </row>
    <row r="551" spans="1:15" x14ac:dyDescent="0.25">
      <c r="A551">
        <v>594</v>
      </c>
      <c r="B551" s="6">
        <v>45170</v>
      </c>
      <c r="C551" s="5" t="s">
        <v>572</v>
      </c>
      <c r="D551" s="5" t="s">
        <v>1</v>
      </c>
      <c r="E551">
        <v>19</v>
      </c>
      <c r="F551" s="5" t="s">
        <v>374</v>
      </c>
      <c r="G551">
        <v>2</v>
      </c>
      <c r="H551" s="11">
        <v>300</v>
      </c>
      <c r="I551" s="11">
        <v>600</v>
      </c>
      <c r="J551" t="s">
        <v>22</v>
      </c>
      <c r="K551" t="s">
        <v>1029</v>
      </c>
      <c r="L551" t="s">
        <v>1038</v>
      </c>
      <c r="M551" t="s">
        <v>1033</v>
      </c>
      <c r="N551">
        <v>9</v>
      </c>
      <c r="O551" t="s">
        <v>1043</v>
      </c>
    </row>
    <row r="552" spans="1:15" x14ac:dyDescent="0.25">
      <c r="A552">
        <v>596</v>
      </c>
      <c r="B552" s="6">
        <v>44964</v>
      </c>
      <c r="C552" s="5" t="s">
        <v>573</v>
      </c>
      <c r="D552" s="5" t="s">
        <v>1</v>
      </c>
      <c r="E552">
        <v>64</v>
      </c>
      <c r="F552" s="5" t="s">
        <v>374</v>
      </c>
      <c r="G552">
        <v>1</v>
      </c>
      <c r="H552" s="11">
        <v>300</v>
      </c>
      <c r="I552" s="11">
        <v>300</v>
      </c>
      <c r="J552" t="s">
        <v>24</v>
      </c>
      <c r="K552" t="s">
        <v>1030</v>
      </c>
      <c r="L552" t="s">
        <v>1038</v>
      </c>
      <c r="M552" t="s">
        <v>1039</v>
      </c>
      <c r="N552">
        <v>2</v>
      </c>
      <c r="O552" t="s">
        <v>1044</v>
      </c>
    </row>
    <row r="553" spans="1:15" x14ac:dyDescent="0.25">
      <c r="A553">
        <v>602</v>
      </c>
      <c r="B553" s="6">
        <v>45283</v>
      </c>
      <c r="C553" s="5" t="s">
        <v>574</v>
      </c>
      <c r="D553" s="5" t="s">
        <v>1</v>
      </c>
      <c r="E553">
        <v>20</v>
      </c>
      <c r="F553" s="5" t="s">
        <v>374</v>
      </c>
      <c r="G553">
        <v>1</v>
      </c>
      <c r="H553" s="11">
        <v>300</v>
      </c>
      <c r="I553" s="11">
        <v>300</v>
      </c>
      <c r="J553" t="s">
        <v>22</v>
      </c>
      <c r="K553" t="s">
        <v>1029</v>
      </c>
      <c r="L553" t="s">
        <v>1038</v>
      </c>
      <c r="M553" t="s">
        <v>1047</v>
      </c>
      <c r="N553">
        <v>12</v>
      </c>
      <c r="O553" t="s">
        <v>1052</v>
      </c>
    </row>
    <row r="554" spans="1:15" x14ac:dyDescent="0.25">
      <c r="A554">
        <v>604</v>
      </c>
      <c r="B554" s="6">
        <v>45180</v>
      </c>
      <c r="C554" s="5" t="s">
        <v>575</v>
      </c>
      <c r="D554" s="5" t="s">
        <v>1</v>
      </c>
      <c r="E554">
        <v>29</v>
      </c>
      <c r="F554" s="5" t="s">
        <v>374</v>
      </c>
      <c r="G554">
        <v>4</v>
      </c>
      <c r="H554" s="11">
        <v>50</v>
      </c>
      <c r="I554" s="11">
        <v>200</v>
      </c>
      <c r="J554" t="s">
        <v>22</v>
      </c>
      <c r="K554" t="s">
        <v>1029</v>
      </c>
      <c r="L554" t="s">
        <v>1038</v>
      </c>
      <c r="M554" t="s">
        <v>1033</v>
      </c>
      <c r="N554">
        <v>9</v>
      </c>
      <c r="O554" t="s">
        <v>1043</v>
      </c>
    </row>
    <row r="555" spans="1:15" x14ac:dyDescent="0.25">
      <c r="A555">
        <v>605</v>
      </c>
      <c r="B555" s="6">
        <v>45131</v>
      </c>
      <c r="C555" s="5" t="s">
        <v>576</v>
      </c>
      <c r="D555" s="5" t="s">
        <v>2</v>
      </c>
      <c r="E555">
        <v>37</v>
      </c>
      <c r="F555" s="5" t="s">
        <v>374</v>
      </c>
      <c r="G555">
        <v>2</v>
      </c>
      <c r="H555" s="11">
        <v>500</v>
      </c>
      <c r="I555" s="11">
        <v>1000</v>
      </c>
      <c r="J555" t="s">
        <v>20</v>
      </c>
      <c r="K555" t="s">
        <v>1028</v>
      </c>
      <c r="L555" t="s">
        <v>1038</v>
      </c>
      <c r="M555" t="s">
        <v>1033</v>
      </c>
      <c r="N555">
        <v>7</v>
      </c>
      <c r="O555" t="s">
        <v>1046</v>
      </c>
    </row>
    <row r="556" spans="1:15" x14ac:dyDescent="0.25">
      <c r="A556">
        <v>606</v>
      </c>
      <c r="B556" s="6">
        <v>45051</v>
      </c>
      <c r="C556" s="5" t="s">
        <v>577</v>
      </c>
      <c r="D556" s="5" t="s">
        <v>2</v>
      </c>
      <c r="E556">
        <v>22</v>
      </c>
      <c r="F556" s="5" t="s">
        <v>374</v>
      </c>
      <c r="G556">
        <v>1</v>
      </c>
      <c r="H556" s="11">
        <v>50</v>
      </c>
      <c r="I556" s="11">
        <v>50</v>
      </c>
      <c r="J556" t="s">
        <v>22</v>
      </c>
      <c r="K556" t="s">
        <v>1029</v>
      </c>
      <c r="L556" t="s">
        <v>1038</v>
      </c>
      <c r="M556" t="s">
        <v>1041</v>
      </c>
      <c r="N556">
        <v>5</v>
      </c>
      <c r="O556" t="s">
        <v>1032</v>
      </c>
    </row>
    <row r="557" spans="1:15" x14ac:dyDescent="0.25">
      <c r="A557">
        <v>608</v>
      </c>
      <c r="B557" s="6">
        <v>45262</v>
      </c>
      <c r="C557" s="5" t="s">
        <v>578</v>
      </c>
      <c r="D557" s="5" t="s">
        <v>1</v>
      </c>
      <c r="E557">
        <v>55</v>
      </c>
      <c r="F557" s="5" t="s">
        <v>374</v>
      </c>
      <c r="G557">
        <v>3</v>
      </c>
      <c r="H557" s="11">
        <v>500</v>
      </c>
      <c r="I557" s="11">
        <v>1500</v>
      </c>
      <c r="J557" t="s">
        <v>20</v>
      </c>
      <c r="K557" t="s">
        <v>1028</v>
      </c>
      <c r="L557" t="s">
        <v>1038</v>
      </c>
      <c r="M557" t="s">
        <v>1047</v>
      </c>
      <c r="N557">
        <v>12</v>
      </c>
      <c r="O557" t="s">
        <v>1052</v>
      </c>
    </row>
    <row r="558" spans="1:15" x14ac:dyDescent="0.25">
      <c r="A558">
        <v>612</v>
      </c>
      <c r="B558" s="6">
        <v>45144</v>
      </c>
      <c r="C558" s="5" t="s">
        <v>579</v>
      </c>
      <c r="D558" s="5" t="s">
        <v>1</v>
      </c>
      <c r="E558">
        <v>61</v>
      </c>
      <c r="F558" s="5" t="s">
        <v>374</v>
      </c>
      <c r="G558">
        <v>1</v>
      </c>
      <c r="H558" s="11">
        <v>500</v>
      </c>
      <c r="I558" s="11">
        <v>500</v>
      </c>
      <c r="J558" t="s">
        <v>24</v>
      </c>
      <c r="K558" t="s">
        <v>1030</v>
      </c>
      <c r="L558" t="s">
        <v>1038</v>
      </c>
      <c r="M558" t="s">
        <v>1033</v>
      </c>
      <c r="N558">
        <v>8</v>
      </c>
      <c r="O558" t="s">
        <v>1051</v>
      </c>
    </row>
    <row r="559" spans="1:15" x14ac:dyDescent="0.25">
      <c r="A559">
        <v>617</v>
      </c>
      <c r="B559" s="6">
        <v>45164</v>
      </c>
      <c r="C559" s="5" t="s">
        <v>580</v>
      </c>
      <c r="D559" s="5" t="s">
        <v>2</v>
      </c>
      <c r="E559">
        <v>34</v>
      </c>
      <c r="F559" s="5" t="s">
        <v>374</v>
      </c>
      <c r="G559">
        <v>1</v>
      </c>
      <c r="H559" s="11">
        <v>30</v>
      </c>
      <c r="I559" s="11">
        <v>30</v>
      </c>
      <c r="J559" t="s">
        <v>20</v>
      </c>
      <c r="K559" t="s">
        <v>1028</v>
      </c>
      <c r="L559" t="s">
        <v>1038</v>
      </c>
      <c r="M559" t="s">
        <v>1033</v>
      </c>
      <c r="N559">
        <v>8</v>
      </c>
      <c r="O559" t="s">
        <v>1051</v>
      </c>
    </row>
    <row r="560" spans="1:15" x14ac:dyDescent="0.25">
      <c r="A560">
        <v>619</v>
      </c>
      <c r="B560" s="6">
        <v>45212</v>
      </c>
      <c r="C560" s="5" t="s">
        <v>581</v>
      </c>
      <c r="D560" s="5" t="s">
        <v>2</v>
      </c>
      <c r="E560">
        <v>47</v>
      </c>
      <c r="F560" s="5" t="s">
        <v>374</v>
      </c>
      <c r="G560">
        <v>4</v>
      </c>
      <c r="H560" s="11">
        <v>25</v>
      </c>
      <c r="I560" s="11">
        <v>100</v>
      </c>
      <c r="J560" t="s">
        <v>20</v>
      </c>
      <c r="K560" t="s">
        <v>1028</v>
      </c>
      <c r="L560" t="s">
        <v>1038</v>
      </c>
      <c r="M560" t="s">
        <v>1047</v>
      </c>
      <c r="N560">
        <v>10</v>
      </c>
      <c r="O560" t="s">
        <v>1049</v>
      </c>
    </row>
    <row r="561" spans="1:15" x14ac:dyDescent="0.25">
      <c r="A561">
        <v>620</v>
      </c>
      <c r="B561" s="6">
        <v>45054</v>
      </c>
      <c r="C561" s="5" t="s">
        <v>582</v>
      </c>
      <c r="D561" s="5" t="s">
        <v>2</v>
      </c>
      <c r="E561">
        <v>63</v>
      </c>
      <c r="F561" s="5" t="s">
        <v>374</v>
      </c>
      <c r="G561">
        <v>3</v>
      </c>
      <c r="H561" s="11">
        <v>25</v>
      </c>
      <c r="I561" s="11">
        <v>75</v>
      </c>
      <c r="J561" t="s">
        <v>24</v>
      </c>
      <c r="K561" t="s">
        <v>1030</v>
      </c>
      <c r="L561" t="s">
        <v>1038</v>
      </c>
      <c r="M561" t="s">
        <v>1041</v>
      </c>
      <c r="N561">
        <v>5</v>
      </c>
      <c r="O561" t="s">
        <v>1032</v>
      </c>
    </row>
    <row r="562" spans="1:15" x14ac:dyDescent="0.25">
      <c r="A562">
        <v>629</v>
      </c>
      <c r="B562" s="6">
        <v>45089</v>
      </c>
      <c r="C562" s="5" t="s">
        <v>583</v>
      </c>
      <c r="D562" s="5" t="s">
        <v>2</v>
      </c>
      <c r="E562">
        <v>62</v>
      </c>
      <c r="F562" s="5" t="s">
        <v>374</v>
      </c>
      <c r="G562">
        <v>2</v>
      </c>
      <c r="H562" s="11">
        <v>25</v>
      </c>
      <c r="I562" s="11">
        <v>50</v>
      </c>
      <c r="J562" t="s">
        <v>24</v>
      </c>
      <c r="K562" t="s">
        <v>1030</v>
      </c>
      <c r="L562" t="s">
        <v>1038</v>
      </c>
      <c r="M562" t="s">
        <v>1041</v>
      </c>
      <c r="N562">
        <v>6</v>
      </c>
      <c r="O562" t="s">
        <v>1050</v>
      </c>
    </row>
    <row r="563" spans="1:15" x14ac:dyDescent="0.25">
      <c r="A563">
        <v>631</v>
      </c>
      <c r="B563" s="6">
        <v>45240</v>
      </c>
      <c r="C563" s="5" t="s">
        <v>584</v>
      </c>
      <c r="D563" s="5" t="s">
        <v>2</v>
      </c>
      <c r="E563">
        <v>56</v>
      </c>
      <c r="F563" s="5" t="s">
        <v>374</v>
      </c>
      <c r="G563">
        <v>3</v>
      </c>
      <c r="H563" s="11">
        <v>30</v>
      </c>
      <c r="I563" s="11">
        <v>90</v>
      </c>
      <c r="J563" t="s">
        <v>24</v>
      </c>
      <c r="K563" t="s">
        <v>1030</v>
      </c>
      <c r="L563" t="s">
        <v>1038</v>
      </c>
      <c r="M563" t="s">
        <v>1047</v>
      </c>
      <c r="N563">
        <v>11</v>
      </c>
      <c r="O563" t="s">
        <v>1048</v>
      </c>
    </row>
    <row r="564" spans="1:15" x14ac:dyDescent="0.25">
      <c r="A564">
        <v>632</v>
      </c>
      <c r="B564" s="6">
        <v>45185</v>
      </c>
      <c r="C564" s="5" t="s">
        <v>585</v>
      </c>
      <c r="D564" s="5" t="s">
        <v>1</v>
      </c>
      <c r="E564">
        <v>26</v>
      </c>
      <c r="F564" s="5" t="s">
        <v>374</v>
      </c>
      <c r="G564">
        <v>4</v>
      </c>
      <c r="H564" s="11">
        <v>25</v>
      </c>
      <c r="I564" s="11">
        <v>100</v>
      </c>
      <c r="J564" t="s">
        <v>22</v>
      </c>
      <c r="K564" t="s">
        <v>1029</v>
      </c>
      <c r="L564" t="s">
        <v>1038</v>
      </c>
      <c r="M564" t="s">
        <v>1033</v>
      </c>
      <c r="N564">
        <v>9</v>
      </c>
      <c r="O564" t="s">
        <v>1043</v>
      </c>
    </row>
    <row r="565" spans="1:15" x14ac:dyDescent="0.25">
      <c r="A565">
        <v>634</v>
      </c>
      <c r="B565" s="6">
        <v>45207</v>
      </c>
      <c r="C565" s="5" t="s">
        <v>586</v>
      </c>
      <c r="D565" s="5" t="s">
        <v>2</v>
      </c>
      <c r="E565">
        <v>60</v>
      </c>
      <c r="F565" s="5" t="s">
        <v>374</v>
      </c>
      <c r="G565">
        <v>4</v>
      </c>
      <c r="H565" s="11">
        <v>500</v>
      </c>
      <c r="I565" s="11">
        <v>2000</v>
      </c>
      <c r="J565" t="s">
        <v>24</v>
      </c>
      <c r="K565" t="s">
        <v>1030</v>
      </c>
      <c r="L565" t="s">
        <v>1038</v>
      </c>
      <c r="M565" t="s">
        <v>1047</v>
      </c>
      <c r="N565">
        <v>10</v>
      </c>
      <c r="O565" t="s">
        <v>1049</v>
      </c>
    </row>
    <row r="566" spans="1:15" x14ac:dyDescent="0.25">
      <c r="A566">
        <v>635</v>
      </c>
      <c r="B566" s="6">
        <v>45155</v>
      </c>
      <c r="C566" s="5" t="s">
        <v>587</v>
      </c>
      <c r="D566" s="5" t="s">
        <v>1</v>
      </c>
      <c r="E566">
        <v>63</v>
      </c>
      <c r="F566" s="5" t="s">
        <v>374</v>
      </c>
      <c r="G566">
        <v>3</v>
      </c>
      <c r="H566" s="11">
        <v>300</v>
      </c>
      <c r="I566" s="11">
        <v>900</v>
      </c>
      <c r="J566" t="s">
        <v>24</v>
      </c>
      <c r="K566" t="s">
        <v>1030</v>
      </c>
      <c r="L566" t="s">
        <v>1038</v>
      </c>
      <c r="M566" t="s">
        <v>1033</v>
      </c>
      <c r="N566">
        <v>8</v>
      </c>
      <c r="O566" t="s">
        <v>1051</v>
      </c>
    </row>
    <row r="567" spans="1:15" x14ac:dyDescent="0.25">
      <c r="A567">
        <v>638</v>
      </c>
      <c r="B567" s="6">
        <v>45157</v>
      </c>
      <c r="C567" s="5" t="s">
        <v>588</v>
      </c>
      <c r="D567" s="5" t="s">
        <v>2</v>
      </c>
      <c r="E567">
        <v>46</v>
      </c>
      <c r="F567" s="5" t="s">
        <v>374</v>
      </c>
      <c r="G567">
        <v>1</v>
      </c>
      <c r="H567" s="11">
        <v>500</v>
      </c>
      <c r="I567" s="11">
        <v>500</v>
      </c>
      <c r="J567" t="s">
        <v>20</v>
      </c>
      <c r="K567" t="s">
        <v>1028</v>
      </c>
      <c r="L567" t="s">
        <v>1038</v>
      </c>
      <c r="M567" t="s">
        <v>1033</v>
      </c>
      <c r="N567">
        <v>8</v>
      </c>
      <c r="O567" t="s">
        <v>1051</v>
      </c>
    </row>
    <row r="568" spans="1:15" x14ac:dyDescent="0.25">
      <c r="A568">
        <v>640</v>
      </c>
      <c r="B568" s="6">
        <v>45053</v>
      </c>
      <c r="C568" s="5" t="s">
        <v>589</v>
      </c>
      <c r="D568" s="5" t="s">
        <v>1</v>
      </c>
      <c r="E568">
        <v>51</v>
      </c>
      <c r="F568" s="5" t="s">
        <v>374</v>
      </c>
      <c r="G568">
        <v>4</v>
      </c>
      <c r="H568" s="11">
        <v>30</v>
      </c>
      <c r="I568" s="11">
        <v>120</v>
      </c>
      <c r="J568" t="s">
        <v>20</v>
      </c>
      <c r="K568" t="s">
        <v>1028</v>
      </c>
      <c r="L568" t="s">
        <v>1038</v>
      </c>
      <c r="M568" t="s">
        <v>1041</v>
      </c>
      <c r="N568">
        <v>5</v>
      </c>
      <c r="O568" t="s">
        <v>1032</v>
      </c>
    </row>
    <row r="569" spans="1:15" x14ac:dyDescent="0.25">
      <c r="A569">
        <v>641</v>
      </c>
      <c r="B569" s="6">
        <v>45253</v>
      </c>
      <c r="C569" s="5" t="s">
        <v>590</v>
      </c>
      <c r="D569" s="5" t="s">
        <v>1</v>
      </c>
      <c r="E569">
        <v>40</v>
      </c>
      <c r="F569" s="5" t="s">
        <v>374</v>
      </c>
      <c r="G569">
        <v>1</v>
      </c>
      <c r="H569" s="11">
        <v>300</v>
      </c>
      <c r="I569" s="11">
        <v>300</v>
      </c>
      <c r="J569" t="s">
        <v>20</v>
      </c>
      <c r="K569" t="s">
        <v>1028</v>
      </c>
      <c r="L569" t="s">
        <v>1038</v>
      </c>
      <c r="M569" t="s">
        <v>1047</v>
      </c>
      <c r="N569">
        <v>11</v>
      </c>
      <c r="O569" t="s">
        <v>1048</v>
      </c>
    </row>
    <row r="570" spans="1:15" x14ac:dyDescent="0.25">
      <c r="A570">
        <v>643</v>
      </c>
      <c r="B570" s="6">
        <v>45193</v>
      </c>
      <c r="C570" s="5" t="s">
        <v>591</v>
      </c>
      <c r="D570" s="5" t="s">
        <v>1</v>
      </c>
      <c r="E570">
        <v>28</v>
      </c>
      <c r="F570" s="5" t="s">
        <v>374</v>
      </c>
      <c r="G570">
        <v>3</v>
      </c>
      <c r="H570" s="11">
        <v>30</v>
      </c>
      <c r="I570" s="11">
        <v>90</v>
      </c>
      <c r="J570" t="s">
        <v>22</v>
      </c>
      <c r="K570" t="s">
        <v>1029</v>
      </c>
      <c r="L570" t="s">
        <v>1038</v>
      </c>
      <c r="M570" t="s">
        <v>1033</v>
      </c>
      <c r="N570">
        <v>9</v>
      </c>
      <c r="O570" t="s">
        <v>1043</v>
      </c>
    </row>
    <row r="571" spans="1:15" x14ac:dyDescent="0.25">
      <c r="A571">
        <v>645</v>
      </c>
      <c r="B571" s="6">
        <v>45247</v>
      </c>
      <c r="C571" s="5" t="s">
        <v>592</v>
      </c>
      <c r="D571" s="5" t="s">
        <v>1</v>
      </c>
      <c r="E571">
        <v>35</v>
      </c>
      <c r="F571" s="5" t="s">
        <v>374</v>
      </c>
      <c r="G571">
        <v>4</v>
      </c>
      <c r="H571" s="11">
        <v>30</v>
      </c>
      <c r="I571" s="11">
        <v>120</v>
      </c>
      <c r="J571" t="s">
        <v>20</v>
      </c>
      <c r="K571" t="s">
        <v>1028</v>
      </c>
      <c r="L571" t="s">
        <v>1038</v>
      </c>
      <c r="M571" t="s">
        <v>1047</v>
      </c>
      <c r="N571">
        <v>11</v>
      </c>
      <c r="O571" t="s">
        <v>1048</v>
      </c>
    </row>
    <row r="572" spans="1:15" x14ac:dyDescent="0.25">
      <c r="A572">
        <v>650</v>
      </c>
      <c r="B572" s="6">
        <v>45292</v>
      </c>
      <c r="C572" s="5" t="s">
        <v>593</v>
      </c>
      <c r="D572" s="5" t="s">
        <v>2</v>
      </c>
      <c r="E572">
        <v>55</v>
      </c>
      <c r="F572" s="5" t="s">
        <v>374</v>
      </c>
      <c r="G572">
        <v>1</v>
      </c>
      <c r="H572" s="11">
        <v>30</v>
      </c>
      <c r="I572" s="11">
        <v>30</v>
      </c>
      <c r="J572" t="s">
        <v>20</v>
      </c>
      <c r="K572" t="s">
        <v>1028</v>
      </c>
      <c r="L572" t="s">
        <v>1053</v>
      </c>
      <c r="M572" t="s">
        <v>1039</v>
      </c>
      <c r="N572">
        <v>1</v>
      </c>
      <c r="O572" t="s">
        <v>1045</v>
      </c>
    </row>
    <row r="573" spans="1:15" x14ac:dyDescent="0.25">
      <c r="A573">
        <v>659</v>
      </c>
      <c r="B573" s="6">
        <v>45004</v>
      </c>
      <c r="C573" s="5" t="s">
        <v>594</v>
      </c>
      <c r="D573" s="5" t="s">
        <v>1</v>
      </c>
      <c r="E573">
        <v>39</v>
      </c>
      <c r="F573" s="5" t="s">
        <v>374</v>
      </c>
      <c r="G573">
        <v>1</v>
      </c>
      <c r="H573" s="11">
        <v>30</v>
      </c>
      <c r="I573" s="11">
        <v>30</v>
      </c>
      <c r="J573" t="s">
        <v>20</v>
      </c>
      <c r="K573" t="s">
        <v>1028</v>
      </c>
      <c r="L573" t="s">
        <v>1038</v>
      </c>
      <c r="M573" t="s">
        <v>1039</v>
      </c>
      <c r="N573">
        <v>3</v>
      </c>
      <c r="O573" t="s">
        <v>1040</v>
      </c>
    </row>
    <row r="574" spans="1:15" x14ac:dyDescent="0.25">
      <c r="A574">
        <v>666</v>
      </c>
      <c r="B574" s="6">
        <v>44959</v>
      </c>
      <c r="C574" s="5" t="s">
        <v>595</v>
      </c>
      <c r="D574" s="5" t="s">
        <v>2</v>
      </c>
      <c r="E574">
        <v>51</v>
      </c>
      <c r="F574" s="5" t="s">
        <v>374</v>
      </c>
      <c r="G574">
        <v>3</v>
      </c>
      <c r="H574" s="11">
        <v>50</v>
      </c>
      <c r="I574" s="11">
        <v>150</v>
      </c>
      <c r="J574" t="s">
        <v>20</v>
      </c>
      <c r="K574" t="s">
        <v>1028</v>
      </c>
      <c r="L574" t="s">
        <v>1038</v>
      </c>
      <c r="M574" t="s">
        <v>1039</v>
      </c>
      <c r="N574">
        <v>2</v>
      </c>
      <c r="O574" t="s">
        <v>1044</v>
      </c>
    </row>
    <row r="575" spans="1:15" x14ac:dyDescent="0.25">
      <c r="A575">
        <v>667</v>
      </c>
      <c r="B575" s="6">
        <v>45139</v>
      </c>
      <c r="C575" s="5" t="s">
        <v>596</v>
      </c>
      <c r="D575" s="5" t="s">
        <v>1</v>
      </c>
      <c r="E575">
        <v>29</v>
      </c>
      <c r="F575" s="5" t="s">
        <v>374</v>
      </c>
      <c r="G575">
        <v>1</v>
      </c>
      <c r="H575" s="11">
        <v>500</v>
      </c>
      <c r="I575" s="11">
        <v>500</v>
      </c>
      <c r="J575" t="s">
        <v>22</v>
      </c>
      <c r="K575" t="s">
        <v>1029</v>
      </c>
      <c r="L575" t="s">
        <v>1038</v>
      </c>
      <c r="M575" t="s">
        <v>1033</v>
      </c>
      <c r="N575">
        <v>8</v>
      </c>
      <c r="O575" t="s">
        <v>1051</v>
      </c>
    </row>
    <row r="576" spans="1:15" x14ac:dyDescent="0.25">
      <c r="A576">
        <v>668</v>
      </c>
      <c r="B576" s="6">
        <v>45135</v>
      </c>
      <c r="C576" s="5" t="s">
        <v>597</v>
      </c>
      <c r="D576" s="5" t="s">
        <v>1</v>
      </c>
      <c r="E576">
        <v>62</v>
      </c>
      <c r="F576" s="5" t="s">
        <v>374</v>
      </c>
      <c r="G576">
        <v>3</v>
      </c>
      <c r="H576" s="11">
        <v>50</v>
      </c>
      <c r="I576" s="11">
        <v>150</v>
      </c>
      <c r="J576" t="s">
        <v>24</v>
      </c>
      <c r="K576" t="s">
        <v>1030</v>
      </c>
      <c r="L576" t="s">
        <v>1038</v>
      </c>
      <c r="M576" t="s">
        <v>1033</v>
      </c>
      <c r="N576">
        <v>7</v>
      </c>
      <c r="O576" t="s">
        <v>1046</v>
      </c>
    </row>
    <row r="577" spans="1:15" x14ac:dyDescent="0.25">
      <c r="A577">
        <v>671</v>
      </c>
      <c r="B577" s="6">
        <v>45165</v>
      </c>
      <c r="C577" s="5" t="s">
        <v>598</v>
      </c>
      <c r="D577" s="5" t="s">
        <v>2</v>
      </c>
      <c r="E577">
        <v>62</v>
      </c>
      <c r="F577" s="5" t="s">
        <v>374</v>
      </c>
      <c r="G577">
        <v>3</v>
      </c>
      <c r="H577" s="11">
        <v>50</v>
      </c>
      <c r="I577" s="11">
        <v>150</v>
      </c>
      <c r="J577" t="s">
        <v>24</v>
      </c>
      <c r="K577" t="s">
        <v>1030</v>
      </c>
      <c r="L577" t="s">
        <v>1038</v>
      </c>
      <c r="M577" t="s">
        <v>1033</v>
      </c>
      <c r="N577">
        <v>8</v>
      </c>
      <c r="O577" t="s">
        <v>1051</v>
      </c>
    </row>
    <row r="578" spans="1:15" x14ac:dyDescent="0.25">
      <c r="A578">
        <v>676</v>
      </c>
      <c r="B578" s="6">
        <v>45126</v>
      </c>
      <c r="C578" s="5" t="s">
        <v>599</v>
      </c>
      <c r="D578" s="5" t="s">
        <v>2</v>
      </c>
      <c r="E578">
        <v>63</v>
      </c>
      <c r="F578" s="5" t="s">
        <v>374</v>
      </c>
      <c r="G578">
        <v>3</v>
      </c>
      <c r="H578" s="11">
        <v>500</v>
      </c>
      <c r="I578" s="11">
        <v>1500</v>
      </c>
      <c r="J578" t="s">
        <v>24</v>
      </c>
      <c r="K578" t="s">
        <v>1030</v>
      </c>
      <c r="L578" t="s">
        <v>1038</v>
      </c>
      <c r="M578" t="s">
        <v>1033</v>
      </c>
      <c r="N578">
        <v>7</v>
      </c>
      <c r="O578" t="s">
        <v>1046</v>
      </c>
    </row>
    <row r="579" spans="1:15" x14ac:dyDescent="0.25">
      <c r="A579">
        <v>678</v>
      </c>
      <c r="B579" s="6">
        <v>45283</v>
      </c>
      <c r="C579" s="5" t="s">
        <v>600</v>
      </c>
      <c r="D579" s="5" t="s">
        <v>1</v>
      </c>
      <c r="E579">
        <v>60</v>
      </c>
      <c r="F579" s="5" t="s">
        <v>374</v>
      </c>
      <c r="G579">
        <v>3</v>
      </c>
      <c r="H579" s="11">
        <v>300</v>
      </c>
      <c r="I579" s="11">
        <v>900</v>
      </c>
      <c r="J579" t="s">
        <v>24</v>
      </c>
      <c r="K579" t="s">
        <v>1030</v>
      </c>
      <c r="L579" t="s">
        <v>1038</v>
      </c>
      <c r="M579" t="s">
        <v>1047</v>
      </c>
      <c r="N579">
        <v>12</v>
      </c>
      <c r="O579" t="s">
        <v>1052</v>
      </c>
    </row>
    <row r="580" spans="1:15" x14ac:dyDescent="0.25">
      <c r="A580">
        <v>681</v>
      </c>
      <c r="B580" s="6">
        <v>45121</v>
      </c>
      <c r="C580" s="5" t="s">
        <v>601</v>
      </c>
      <c r="D580" s="5" t="s">
        <v>1</v>
      </c>
      <c r="E580">
        <v>43</v>
      </c>
      <c r="F580" s="5" t="s">
        <v>374</v>
      </c>
      <c r="G580">
        <v>2</v>
      </c>
      <c r="H580" s="11">
        <v>30</v>
      </c>
      <c r="I580" s="11">
        <v>60</v>
      </c>
      <c r="J580" t="s">
        <v>20</v>
      </c>
      <c r="K580" t="s">
        <v>1028</v>
      </c>
      <c r="L580" t="s">
        <v>1038</v>
      </c>
      <c r="M580" t="s">
        <v>1033</v>
      </c>
      <c r="N580">
        <v>7</v>
      </c>
      <c r="O580" t="s">
        <v>1046</v>
      </c>
    </row>
    <row r="581" spans="1:15" x14ac:dyDescent="0.25">
      <c r="A581">
        <v>685</v>
      </c>
      <c r="B581" s="6">
        <v>45079</v>
      </c>
      <c r="C581" s="5" t="s">
        <v>602</v>
      </c>
      <c r="D581" s="5" t="s">
        <v>2</v>
      </c>
      <c r="E581">
        <v>57</v>
      </c>
      <c r="F581" s="5" t="s">
        <v>374</v>
      </c>
      <c r="G581">
        <v>2</v>
      </c>
      <c r="H581" s="11">
        <v>25</v>
      </c>
      <c r="I581" s="11">
        <v>50</v>
      </c>
      <c r="J581" t="s">
        <v>24</v>
      </c>
      <c r="K581" t="s">
        <v>1030</v>
      </c>
      <c r="L581" t="s">
        <v>1038</v>
      </c>
      <c r="M581" t="s">
        <v>1041</v>
      </c>
      <c r="N581">
        <v>6</v>
      </c>
      <c r="O581" t="s">
        <v>1050</v>
      </c>
    </row>
    <row r="582" spans="1:15" x14ac:dyDescent="0.25">
      <c r="A582">
        <v>686</v>
      </c>
      <c r="B582" s="6">
        <v>45126</v>
      </c>
      <c r="C582" s="5" t="s">
        <v>603</v>
      </c>
      <c r="D582" s="5" t="s">
        <v>1</v>
      </c>
      <c r="E582">
        <v>28</v>
      </c>
      <c r="F582" s="5" t="s">
        <v>374</v>
      </c>
      <c r="G582">
        <v>4</v>
      </c>
      <c r="H582" s="11">
        <v>50</v>
      </c>
      <c r="I582" s="11">
        <v>200</v>
      </c>
      <c r="J582" t="s">
        <v>22</v>
      </c>
      <c r="K582" t="s">
        <v>1029</v>
      </c>
      <c r="L582" t="s">
        <v>1038</v>
      </c>
      <c r="M582" t="s">
        <v>1033</v>
      </c>
      <c r="N582">
        <v>7</v>
      </c>
      <c r="O582" t="s">
        <v>1046</v>
      </c>
    </row>
    <row r="583" spans="1:15" x14ac:dyDescent="0.25">
      <c r="A583">
        <v>687</v>
      </c>
      <c r="B583" s="6">
        <v>45141</v>
      </c>
      <c r="C583" s="5" t="s">
        <v>604</v>
      </c>
      <c r="D583" s="5" t="s">
        <v>1</v>
      </c>
      <c r="E583">
        <v>53</v>
      </c>
      <c r="F583" s="5" t="s">
        <v>374</v>
      </c>
      <c r="G583">
        <v>1</v>
      </c>
      <c r="H583" s="11">
        <v>300</v>
      </c>
      <c r="I583" s="11">
        <v>300</v>
      </c>
      <c r="J583" t="s">
        <v>20</v>
      </c>
      <c r="K583" t="s">
        <v>1028</v>
      </c>
      <c r="L583" t="s">
        <v>1038</v>
      </c>
      <c r="M583" t="s">
        <v>1033</v>
      </c>
      <c r="N583">
        <v>8</v>
      </c>
      <c r="O583" t="s">
        <v>1051</v>
      </c>
    </row>
    <row r="584" spans="1:15" x14ac:dyDescent="0.25">
      <c r="A584">
        <v>689</v>
      </c>
      <c r="B584" s="6">
        <v>45206</v>
      </c>
      <c r="C584" s="5" t="s">
        <v>605</v>
      </c>
      <c r="D584" s="5" t="s">
        <v>2</v>
      </c>
      <c r="E584">
        <v>57</v>
      </c>
      <c r="F584" s="5" t="s">
        <v>374</v>
      </c>
      <c r="G584">
        <v>2</v>
      </c>
      <c r="H584" s="11">
        <v>50</v>
      </c>
      <c r="I584" s="11">
        <v>100</v>
      </c>
      <c r="J584" t="s">
        <v>24</v>
      </c>
      <c r="K584" t="s">
        <v>1030</v>
      </c>
      <c r="L584" t="s">
        <v>1038</v>
      </c>
      <c r="M584" t="s">
        <v>1047</v>
      </c>
      <c r="N584">
        <v>10</v>
      </c>
      <c r="O584" t="s">
        <v>1049</v>
      </c>
    </row>
    <row r="585" spans="1:15" x14ac:dyDescent="0.25">
      <c r="A585">
        <v>694</v>
      </c>
      <c r="B585" s="6">
        <v>45066</v>
      </c>
      <c r="C585" s="5" t="s">
        <v>606</v>
      </c>
      <c r="D585" s="5" t="s">
        <v>1</v>
      </c>
      <c r="E585">
        <v>39</v>
      </c>
      <c r="F585" s="5" t="s">
        <v>374</v>
      </c>
      <c r="G585">
        <v>2</v>
      </c>
      <c r="H585" s="11">
        <v>25</v>
      </c>
      <c r="I585" s="11">
        <v>50</v>
      </c>
      <c r="J585" t="s">
        <v>20</v>
      </c>
      <c r="K585" t="s">
        <v>1028</v>
      </c>
      <c r="L585" t="s">
        <v>1038</v>
      </c>
      <c r="M585" t="s">
        <v>1041</v>
      </c>
      <c r="N585">
        <v>5</v>
      </c>
      <c r="O585" t="s">
        <v>1032</v>
      </c>
    </row>
    <row r="586" spans="1:15" x14ac:dyDescent="0.25">
      <c r="A586">
        <v>695</v>
      </c>
      <c r="B586" s="6">
        <v>45150</v>
      </c>
      <c r="C586" s="5" t="s">
        <v>607</v>
      </c>
      <c r="D586" s="5" t="s">
        <v>1</v>
      </c>
      <c r="E586">
        <v>22</v>
      </c>
      <c r="F586" s="5" t="s">
        <v>374</v>
      </c>
      <c r="G586">
        <v>3</v>
      </c>
      <c r="H586" s="11">
        <v>50</v>
      </c>
      <c r="I586" s="11">
        <v>150</v>
      </c>
      <c r="J586" t="s">
        <v>22</v>
      </c>
      <c r="K586" t="s">
        <v>1029</v>
      </c>
      <c r="L586" t="s">
        <v>1038</v>
      </c>
      <c r="M586" t="s">
        <v>1033</v>
      </c>
      <c r="N586">
        <v>8</v>
      </c>
      <c r="O586" t="s">
        <v>1051</v>
      </c>
    </row>
    <row r="587" spans="1:15" x14ac:dyDescent="0.25">
      <c r="A587">
        <v>698</v>
      </c>
      <c r="B587" s="6">
        <v>45126</v>
      </c>
      <c r="C587" s="5" t="s">
        <v>608</v>
      </c>
      <c r="D587" s="5" t="s">
        <v>1</v>
      </c>
      <c r="E587">
        <v>64</v>
      </c>
      <c r="F587" s="5" t="s">
        <v>374</v>
      </c>
      <c r="G587">
        <v>1</v>
      </c>
      <c r="H587" s="11">
        <v>300</v>
      </c>
      <c r="I587" s="11">
        <v>300</v>
      </c>
      <c r="J587" t="s">
        <v>24</v>
      </c>
      <c r="K587" t="s">
        <v>1030</v>
      </c>
      <c r="L587" t="s">
        <v>1038</v>
      </c>
      <c r="M587" t="s">
        <v>1033</v>
      </c>
      <c r="N587">
        <v>7</v>
      </c>
      <c r="O587" t="s">
        <v>1046</v>
      </c>
    </row>
    <row r="588" spans="1:15" x14ac:dyDescent="0.25">
      <c r="A588">
        <v>700</v>
      </c>
      <c r="B588" s="6">
        <v>45269</v>
      </c>
      <c r="C588" s="5" t="s">
        <v>609</v>
      </c>
      <c r="D588" s="5" t="s">
        <v>2</v>
      </c>
      <c r="E588">
        <v>36</v>
      </c>
      <c r="F588" s="5" t="s">
        <v>374</v>
      </c>
      <c r="G588">
        <v>4</v>
      </c>
      <c r="H588" s="11">
        <v>500</v>
      </c>
      <c r="I588" s="11">
        <v>2000</v>
      </c>
      <c r="J588" t="s">
        <v>20</v>
      </c>
      <c r="K588" t="s">
        <v>1028</v>
      </c>
      <c r="L588" t="s">
        <v>1038</v>
      </c>
      <c r="M588" t="s">
        <v>1047</v>
      </c>
      <c r="N588">
        <v>12</v>
      </c>
      <c r="O588" t="s">
        <v>1052</v>
      </c>
    </row>
    <row r="589" spans="1:15" x14ac:dyDescent="0.25">
      <c r="A589">
        <v>703</v>
      </c>
      <c r="B589" s="6">
        <v>45011</v>
      </c>
      <c r="C589" s="5" t="s">
        <v>610</v>
      </c>
      <c r="D589" s="5" t="s">
        <v>2</v>
      </c>
      <c r="E589">
        <v>34</v>
      </c>
      <c r="F589" s="5" t="s">
        <v>374</v>
      </c>
      <c r="G589">
        <v>2</v>
      </c>
      <c r="H589" s="11">
        <v>50</v>
      </c>
      <c r="I589" s="11">
        <v>100</v>
      </c>
      <c r="J589" t="s">
        <v>20</v>
      </c>
      <c r="K589" t="s">
        <v>1028</v>
      </c>
      <c r="L589" t="s">
        <v>1038</v>
      </c>
      <c r="M589" t="s">
        <v>1039</v>
      </c>
      <c r="N589">
        <v>3</v>
      </c>
      <c r="O589" t="s">
        <v>1040</v>
      </c>
    </row>
    <row r="590" spans="1:15" x14ac:dyDescent="0.25">
      <c r="A590">
        <v>705</v>
      </c>
      <c r="B590" s="6">
        <v>44992</v>
      </c>
      <c r="C590" s="5" t="s">
        <v>611</v>
      </c>
      <c r="D590" s="5" t="s">
        <v>2</v>
      </c>
      <c r="E590">
        <v>60</v>
      </c>
      <c r="F590" s="5" t="s">
        <v>374</v>
      </c>
      <c r="G590">
        <v>2</v>
      </c>
      <c r="H590" s="11">
        <v>25</v>
      </c>
      <c r="I590" s="11">
        <v>50</v>
      </c>
      <c r="J590" t="s">
        <v>24</v>
      </c>
      <c r="K590" t="s">
        <v>1030</v>
      </c>
      <c r="L590" t="s">
        <v>1038</v>
      </c>
      <c r="M590" t="s">
        <v>1039</v>
      </c>
      <c r="N590">
        <v>3</v>
      </c>
      <c r="O590" t="s">
        <v>1040</v>
      </c>
    </row>
    <row r="591" spans="1:15" x14ac:dyDescent="0.25">
      <c r="A591">
        <v>706</v>
      </c>
      <c r="B591" s="6">
        <v>45245</v>
      </c>
      <c r="C591" s="5" t="s">
        <v>612</v>
      </c>
      <c r="D591" s="5" t="s">
        <v>2</v>
      </c>
      <c r="E591">
        <v>51</v>
      </c>
      <c r="F591" s="5" t="s">
        <v>374</v>
      </c>
      <c r="G591">
        <v>4</v>
      </c>
      <c r="H591" s="11">
        <v>25</v>
      </c>
      <c r="I591" s="11">
        <v>100</v>
      </c>
      <c r="J591" t="s">
        <v>20</v>
      </c>
      <c r="K591" t="s">
        <v>1028</v>
      </c>
      <c r="L591" t="s">
        <v>1038</v>
      </c>
      <c r="M591" t="s">
        <v>1047</v>
      </c>
      <c r="N591">
        <v>11</v>
      </c>
      <c r="O591" t="s">
        <v>1048</v>
      </c>
    </row>
    <row r="592" spans="1:15" x14ac:dyDescent="0.25">
      <c r="A592">
        <v>709</v>
      </c>
      <c r="B592" s="6">
        <v>45128</v>
      </c>
      <c r="C592" s="5" t="s">
        <v>613</v>
      </c>
      <c r="D592" s="5" t="s">
        <v>1</v>
      </c>
      <c r="E592">
        <v>19</v>
      </c>
      <c r="F592" s="5" t="s">
        <v>374</v>
      </c>
      <c r="G592">
        <v>2</v>
      </c>
      <c r="H592" s="11">
        <v>500</v>
      </c>
      <c r="I592" s="11">
        <v>1000</v>
      </c>
      <c r="J592" t="s">
        <v>22</v>
      </c>
      <c r="K592" t="s">
        <v>1029</v>
      </c>
      <c r="L592" t="s">
        <v>1038</v>
      </c>
      <c r="M592" t="s">
        <v>1033</v>
      </c>
      <c r="N592">
        <v>7</v>
      </c>
      <c r="O592" t="s">
        <v>1046</v>
      </c>
    </row>
    <row r="593" spans="1:15" x14ac:dyDescent="0.25">
      <c r="A593">
        <v>710</v>
      </c>
      <c r="B593" s="6">
        <v>45230</v>
      </c>
      <c r="C593" s="5" t="s">
        <v>614</v>
      </c>
      <c r="D593" s="5" t="s">
        <v>1</v>
      </c>
      <c r="E593">
        <v>26</v>
      </c>
      <c r="F593" s="5" t="s">
        <v>374</v>
      </c>
      <c r="G593">
        <v>3</v>
      </c>
      <c r="H593" s="11">
        <v>500</v>
      </c>
      <c r="I593" s="11">
        <v>1500</v>
      </c>
      <c r="J593" t="s">
        <v>22</v>
      </c>
      <c r="K593" t="s">
        <v>1029</v>
      </c>
      <c r="L593" t="s">
        <v>1038</v>
      </c>
      <c r="M593" t="s">
        <v>1047</v>
      </c>
      <c r="N593">
        <v>10</v>
      </c>
      <c r="O593" t="s">
        <v>1049</v>
      </c>
    </row>
    <row r="594" spans="1:15" x14ac:dyDescent="0.25">
      <c r="A594">
        <v>711</v>
      </c>
      <c r="B594" s="6">
        <v>45215</v>
      </c>
      <c r="C594" s="5" t="s">
        <v>615</v>
      </c>
      <c r="D594" s="5" t="s">
        <v>2</v>
      </c>
      <c r="E594">
        <v>26</v>
      </c>
      <c r="F594" s="5" t="s">
        <v>374</v>
      </c>
      <c r="G594">
        <v>3</v>
      </c>
      <c r="H594" s="11">
        <v>500</v>
      </c>
      <c r="I594" s="11">
        <v>1500</v>
      </c>
      <c r="J594" t="s">
        <v>22</v>
      </c>
      <c r="K594" t="s">
        <v>1029</v>
      </c>
      <c r="L594" t="s">
        <v>1038</v>
      </c>
      <c r="M594" t="s">
        <v>1047</v>
      </c>
      <c r="N594">
        <v>10</v>
      </c>
      <c r="O594" t="s">
        <v>1049</v>
      </c>
    </row>
    <row r="595" spans="1:15" x14ac:dyDescent="0.25">
      <c r="A595">
        <v>725</v>
      </c>
      <c r="B595" s="6">
        <v>45159</v>
      </c>
      <c r="C595" s="5" t="s">
        <v>616</v>
      </c>
      <c r="D595" s="5" t="s">
        <v>2</v>
      </c>
      <c r="E595">
        <v>61</v>
      </c>
      <c r="F595" s="5" t="s">
        <v>374</v>
      </c>
      <c r="G595">
        <v>1</v>
      </c>
      <c r="H595" s="11">
        <v>300</v>
      </c>
      <c r="I595" s="11">
        <v>300</v>
      </c>
      <c r="J595" t="s">
        <v>24</v>
      </c>
      <c r="K595" t="s">
        <v>1030</v>
      </c>
      <c r="L595" t="s">
        <v>1038</v>
      </c>
      <c r="M595" t="s">
        <v>1033</v>
      </c>
      <c r="N595">
        <v>8</v>
      </c>
      <c r="O595" t="s">
        <v>1051</v>
      </c>
    </row>
    <row r="596" spans="1:15" x14ac:dyDescent="0.25">
      <c r="A596">
        <v>728</v>
      </c>
      <c r="B596" s="6">
        <v>45121</v>
      </c>
      <c r="C596" s="5" t="s">
        <v>617</v>
      </c>
      <c r="D596" s="5" t="s">
        <v>2</v>
      </c>
      <c r="E596">
        <v>51</v>
      </c>
      <c r="F596" s="5" t="s">
        <v>374</v>
      </c>
      <c r="G596">
        <v>3</v>
      </c>
      <c r="H596" s="11">
        <v>50</v>
      </c>
      <c r="I596" s="11">
        <v>150</v>
      </c>
      <c r="J596" t="s">
        <v>20</v>
      </c>
      <c r="K596" t="s">
        <v>1028</v>
      </c>
      <c r="L596" t="s">
        <v>1038</v>
      </c>
      <c r="M596" t="s">
        <v>1033</v>
      </c>
      <c r="N596">
        <v>7</v>
      </c>
      <c r="O596" t="s">
        <v>1046</v>
      </c>
    </row>
    <row r="597" spans="1:15" x14ac:dyDescent="0.25">
      <c r="A597">
        <v>732</v>
      </c>
      <c r="B597" s="6">
        <v>44968</v>
      </c>
      <c r="C597" s="5" t="s">
        <v>618</v>
      </c>
      <c r="D597" s="5" t="s">
        <v>2</v>
      </c>
      <c r="E597">
        <v>61</v>
      </c>
      <c r="F597" s="5" t="s">
        <v>374</v>
      </c>
      <c r="G597">
        <v>2</v>
      </c>
      <c r="H597" s="11">
        <v>500</v>
      </c>
      <c r="I597" s="11">
        <v>1000</v>
      </c>
      <c r="J597" t="s">
        <v>24</v>
      </c>
      <c r="K597" t="s">
        <v>1030</v>
      </c>
      <c r="L597" t="s">
        <v>1038</v>
      </c>
      <c r="M597" t="s">
        <v>1039</v>
      </c>
      <c r="N597">
        <v>2</v>
      </c>
      <c r="O597" t="s">
        <v>1044</v>
      </c>
    </row>
    <row r="598" spans="1:15" x14ac:dyDescent="0.25">
      <c r="A598">
        <v>742</v>
      </c>
      <c r="B598" s="6">
        <v>44947</v>
      </c>
      <c r="C598" s="5" t="s">
        <v>619</v>
      </c>
      <c r="D598" s="5" t="s">
        <v>1</v>
      </c>
      <c r="E598">
        <v>38</v>
      </c>
      <c r="F598" s="5" t="s">
        <v>374</v>
      </c>
      <c r="G598">
        <v>4</v>
      </c>
      <c r="H598" s="11">
        <v>500</v>
      </c>
      <c r="I598" s="11">
        <v>2000</v>
      </c>
      <c r="J598" t="s">
        <v>20</v>
      </c>
      <c r="K598" t="s">
        <v>1028</v>
      </c>
      <c r="L598" t="s">
        <v>1038</v>
      </c>
      <c r="M598" t="s">
        <v>1039</v>
      </c>
      <c r="N598">
        <v>1</v>
      </c>
      <c r="O598" t="s">
        <v>1045</v>
      </c>
    </row>
    <row r="599" spans="1:15" x14ac:dyDescent="0.25">
      <c r="A599">
        <v>744</v>
      </c>
      <c r="B599" s="6">
        <v>45053</v>
      </c>
      <c r="C599" s="5" t="s">
        <v>620</v>
      </c>
      <c r="D599" s="5" t="s">
        <v>2</v>
      </c>
      <c r="E599">
        <v>40</v>
      </c>
      <c r="F599" s="5" t="s">
        <v>374</v>
      </c>
      <c r="G599">
        <v>1</v>
      </c>
      <c r="H599" s="11">
        <v>25</v>
      </c>
      <c r="I599" s="11">
        <v>25</v>
      </c>
      <c r="J599" t="s">
        <v>20</v>
      </c>
      <c r="K599" t="s">
        <v>1028</v>
      </c>
      <c r="L599" t="s">
        <v>1038</v>
      </c>
      <c r="M599" t="s">
        <v>1041</v>
      </c>
      <c r="N599">
        <v>5</v>
      </c>
      <c r="O599" t="s">
        <v>1032</v>
      </c>
    </row>
    <row r="600" spans="1:15" x14ac:dyDescent="0.25">
      <c r="A600">
        <v>754</v>
      </c>
      <c r="B600" s="6">
        <v>45215</v>
      </c>
      <c r="C600" s="5" t="s">
        <v>621</v>
      </c>
      <c r="D600" s="5" t="s">
        <v>1</v>
      </c>
      <c r="E600">
        <v>43</v>
      </c>
      <c r="F600" s="5" t="s">
        <v>374</v>
      </c>
      <c r="G600">
        <v>4</v>
      </c>
      <c r="H600" s="11">
        <v>25</v>
      </c>
      <c r="I600" s="11">
        <v>100</v>
      </c>
      <c r="J600" t="s">
        <v>20</v>
      </c>
      <c r="K600" t="s">
        <v>1028</v>
      </c>
      <c r="L600" t="s">
        <v>1038</v>
      </c>
      <c r="M600" t="s">
        <v>1047</v>
      </c>
      <c r="N600">
        <v>10</v>
      </c>
      <c r="O600" t="s">
        <v>1049</v>
      </c>
    </row>
    <row r="601" spans="1:15" x14ac:dyDescent="0.25">
      <c r="A601">
        <v>756</v>
      </c>
      <c r="B601" s="6">
        <v>45165</v>
      </c>
      <c r="C601" s="5" t="s">
        <v>622</v>
      </c>
      <c r="D601" s="5" t="s">
        <v>1</v>
      </c>
      <c r="E601">
        <v>62</v>
      </c>
      <c r="F601" s="5" t="s">
        <v>374</v>
      </c>
      <c r="G601">
        <v>4</v>
      </c>
      <c r="H601" s="11">
        <v>300</v>
      </c>
      <c r="I601" s="11">
        <v>1200</v>
      </c>
      <c r="J601" t="s">
        <v>24</v>
      </c>
      <c r="K601" t="s">
        <v>1030</v>
      </c>
      <c r="L601" t="s">
        <v>1038</v>
      </c>
      <c r="M601" t="s">
        <v>1033</v>
      </c>
      <c r="N601">
        <v>8</v>
      </c>
      <c r="O601" t="s">
        <v>1051</v>
      </c>
    </row>
    <row r="602" spans="1:15" x14ac:dyDescent="0.25">
      <c r="A602">
        <v>757</v>
      </c>
      <c r="B602" s="6">
        <v>45285</v>
      </c>
      <c r="C602" s="5" t="s">
        <v>623</v>
      </c>
      <c r="D602" s="5" t="s">
        <v>1</v>
      </c>
      <c r="E602">
        <v>43</v>
      </c>
      <c r="F602" s="5" t="s">
        <v>374</v>
      </c>
      <c r="G602">
        <v>4</v>
      </c>
      <c r="H602" s="11">
        <v>300</v>
      </c>
      <c r="I602" s="11">
        <v>1200</v>
      </c>
      <c r="J602" t="s">
        <v>20</v>
      </c>
      <c r="K602" t="s">
        <v>1028</v>
      </c>
      <c r="L602" t="s">
        <v>1038</v>
      </c>
      <c r="M602" t="s">
        <v>1047</v>
      </c>
      <c r="N602">
        <v>12</v>
      </c>
      <c r="O602" t="s">
        <v>1052</v>
      </c>
    </row>
    <row r="603" spans="1:15" x14ac:dyDescent="0.25">
      <c r="A603">
        <v>759</v>
      </c>
      <c r="B603" s="6">
        <v>45115</v>
      </c>
      <c r="C603" s="5" t="s">
        <v>624</v>
      </c>
      <c r="D603" s="5" t="s">
        <v>2</v>
      </c>
      <c r="E603">
        <v>49</v>
      </c>
      <c r="F603" s="5" t="s">
        <v>374</v>
      </c>
      <c r="G603">
        <v>2</v>
      </c>
      <c r="H603" s="11">
        <v>50</v>
      </c>
      <c r="I603" s="11">
        <v>100</v>
      </c>
      <c r="J603" t="s">
        <v>20</v>
      </c>
      <c r="K603" t="s">
        <v>1028</v>
      </c>
      <c r="L603" t="s">
        <v>1038</v>
      </c>
      <c r="M603" t="s">
        <v>1033</v>
      </c>
      <c r="N603">
        <v>7</v>
      </c>
      <c r="O603" t="s">
        <v>1046</v>
      </c>
    </row>
    <row r="604" spans="1:15" x14ac:dyDescent="0.25">
      <c r="A604">
        <v>762</v>
      </c>
      <c r="B604" s="6">
        <v>45237</v>
      </c>
      <c r="C604" s="5" t="s">
        <v>625</v>
      </c>
      <c r="D604" s="5" t="s">
        <v>1</v>
      </c>
      <c r="E604">
        <v>24</v>
      </c>
      <c r="F604" s="5" t="s">
        <v>374</v>
      </c>
      <c r="G604">
        <v>2</v>
      </c>
      <c r="H604" s="11">
        <v>25</v>
      </c>
      <c r="I604" s="11">
        <v>50</v>
      </c>
      <c r="J604" t="s">
        <v>22</v>
      </c>
      <c r="K604" t="s">
        <v>1029</v>
      </c>
      <c r="L604" t="s">
        <v>1038</v>
      </c>
      <c r="M604" t="s">
        <v>1047</v>
      </c>
      <c r="N604">
        <v>11</v>
      </c>
      <c r="O604" t="s">
        <v>1048</v>
      </c>
    </row>
    <row r="605" spans="1:15" x14ac:dyDescent="0.25">
      <c r="A605">
        <v>766</v>
      </c>
      <c r="B605" s="6">
        <v>44982</v>
      </c>
      <c r="C605" s="5" t="s">
        <v>626</v>
      </c>
      <c r="D605" s="5" t="s">
        <v>2</v>
      </c>
      <c r="E605">
        <v>38</v>
      </c>
      <c r="F605" s="5" t="s">
        <v>374</v>
      </c>
      <c r="G605">
        <v>3</v>
      </c>
      <c r="H605" s="11">
        <v>300</v>
      </c>
      <c r="I605" s="11">
        <v>900</v>
      </c>
      <c r="J605" t="s">
        <v>20</v>
      </c>
      <c r="K605" t="s">
        <v>1028</v>
      </c>
      <c r="L605" t="s">
        <v>1038</v>
      </c>
      <c r="M605" t="s">
        <v>1039</v>
      </c>
      <c r="N605">
        <v>2</v>
      </c>
      <c r="O605" t="s">
        <v>1044</v>
      </c>
    </row>
    <row r="606" spans="1:15" x14ac:dyDescent="0.25">
      <c r="A606">
        <v>769</v>
      </c>
      <c r="B606" s="6">
        <v>45086</v>
      </c>
      <c r="C606" s="5" t="s">
        <v>627</v>
      </c>
      <c r="D606" s="5" t="s">
        <v>1</v>
      </c>
      <c r="E606">
        <v>31</v>
      </c>
      <c r="F606" s="5" t="s">
        <v>374</v>
      </c>
      <c r="G606">
        <v>4</v>
      </c>
      <c r="H606" s="11">
        <v>30</v>
      </c>
      <c r="I606" s="11">
        <v>120</v>
      </c>
      <c r="J606" t="s">
        <v>20</v>
      </c>
      <c r="K606" t="s">
        <v>1028</v>
      </c>
      <c r="L606" t="s">
        <v>1038</v>
      </c>
      <c r="M606" t="s">
        <v>1041</v>
      </c>
      <c r="N606">
        <v>6</v>
      </c>
      <c r="O606" t="s">
        <v>1050</v>
      </c>
    </row>
    <row r="607" spans="1:15" x14ac:dyDescent="0.25">
      <c r="A607">
        <v>771</v>
      </c>
      <c r="B607" s="6">
        <v>45273</v>
      </c>
      <c r="C607" s="5" t="s">
        <v>628</v>
      </c>
      <c r="D607" s="5" t="s">
        <v>2</v>
      </c>
      <c r="E607">
        <v>24</v>
      </c>
      <c r="F607" s="5" t="s">
        <v>374</v>
      </c>
      <c r="G607">
        <v>2</v>
      </c>
      <c r="H607" s="11">
        <v>25</v>
      </c>
      <c r="I607" s="11">
        <v>50</v>
      </c>
      <c r="J607" t="s">
        <v>22</v>
      </c>
      <c r="K607" t="s">
        <v>1029</v>
      </c>
      <c r="L607" t="s">
        <v>1038</v>
      </c>
      <c r="M607" t="s">
        <v>1047</v>
      </c>
      <c r="N607">
        <v>12</v>
      </c>
      <c r="O607" t="s">
        <v>1052</v>
      </c>
    </row>
    <row r="608" spans="1:15" x14ac:dyDescent="0.25">
      <c r="A608">
        <v>772</v>
      </c>
      <c r="B608" s="6">
        <v>45119</v>
      </c>
      <c r="C608" s="5" t="s">
        <v>629</v>
      </c>
      <c r="D608" s="5" t="s">
        <v>2</v>
      </c>
      <c r="E608">
        <v>26</v>
      </c>
      <c r="F608" s="5" t="s">
        <v>374</v>
      </c>
      <c r="G608">
        <v>1</v>
      </c>
      <c r="H608" s="11">
        <v>30</v>
      </c>
      <c r="I608" s="11">
        <v>30</v>
      </c>
      <c r="J608" t="s">
        <v>22</v>
      </c>
      <c r="K608" t="s">
        <v>1029</v>
      </c>
      <c r="L608" t="s">
        <v>1038</v>
      </c>
      <c r="M608" t="s">
        <v>1033</v>
      </c>
      <c r="N608">
        <v>7</v>
      </c>
      <c r="O608" t="s">
        <v>1046</v>
      </c>
    </row>
    <row r="609" spans="1:15" x14ac:dyDescent="0.25">
      <c r="A609">
        <v>773</v>
      </c>
      <c r="B609" s="6">
        <v>45130</v>
      </c>
      <c r="C609" s="5" t="s">
        <v>630</v>
      </c>
      <c r="D609" s="5" t="s">
        <v>2</v>
      </c>
      <c r="E609">
        <v>25</v>
      </c>
      <c r="F609" s="5" t="s">
        <v>374</v>
      </c>
      <c r="G609">
        <v>4</v>
      </c>
      <c r="H609" s="11">
        <v>500</v>
      </c>
      <c r="I609" s="11">
        <v>2000</v>
      </c>
      <c r="J609" t="s">
        <v>22</v>
      </c>
      <c r="K609" t="s">
        <v>1029</v>
      </c>
      <c r="L609" t="s">
        <v>1038</v>
      </c>
      <c r="M609" t="s">
        <v>1033</v>
      </c>
      <c r="N609">
        <v>7</v>
      </c>
      <c r="O609" t="s">
        <v>1046</v>
      </c>
    </row>
    <row r="610" spans="1:15" x14ac:dyDescent="0.25">
      <c r="A610">
        <v>775</v>
      </c>
      <c r="B610" s="6">
        <v>44965</v>
      </c>
      <c r="C610" s="5" t="s">
        <v>631</v>
      </c>
      <c r="D610" s="5" t="s">
        <v>1</v>
      </c>
      <c r="E610">
        <v>46</v>
      </c>
      <c r="F610" s="5" t="s">
        <v>374</v>
      </c>
      <c r="G610">
        <v>4</v>
      </c>
      <c r="H610" s="11">
        <v>25</v>
      </c>
      <c r="I610" s="11">
        <v>100</v>
      </c>
      <c r="J610" t="s">
        <v>20</v>
      </c>
      <c r="K610" t="s">
        <v>1028</v>
      </c>
      <c r="L610" t="s">
        <v>1038</v>
      </c>
      <c r="M610" t="s">
        <v>1039</v>
      </c>
      <c r="N610">
        <v>2</v>
      </c>
      <c r="O610" t="s">
        <v>1044</v>
      </c>
    </row>
    <row r="611" spans="1:15" x14ac:dyDescent="0.25">
      <c r="A611">
        <v>777</v>
      </c>
      <c r="B611" s="6">
        <v>45280</v>
      </c>
      <c r="C611" s="5" t="s">
        <v>632</v>
      </c>
      <c r="D611" s="5" t="s">
        <v>2</v>
      </c>
      <c r="E611">
        <v>48</v>
      </c>
      <c r="F611" s="5" t="s">
        <v>374</v>
      </c>
      <c r="G611">
        <v>3</v>
      </c>
      <c r="H611" s="11">
        <v>50</v>
      </c>
      <c r="I611" s="11">
        <v>150</v>
      </c>
      <c r="J611" t="s">
        <v>20</v>
      </c>
      <c r="K611" t="s">
        <v>1028</v>
      </c>
      <c r="L611" t="s">
        <v>1038</v>
      </c>
      <c r="M611" t="s">
        <v>1047</v>
      </c>
      <c r="N611">
        <v>12</v>
      </c>
      <c r="O611" t="s">
        <v>1052</v>
      </c>
    </row>
    <row r="612" spans="1:15" x14ac:dyDescent="0.25">
      <c r="A612">
        <v>779</v>
      </c>
      <c r="B612" s="6">
        <v>45051</v>
      </c>
      <c r="C612" s="5" t="s">
        <v>633</v>
      </c>
      <c r="D612" s="5" t="s">
        <v>1</v>
      </c>
      <c r="E612">
        <v>56</v>
      </c>
      <c r="F612" s="5" t="s">
        <v>374</v>
      </c>
      <c r="G612">
        <v>2</v>
      </c>
      <c r="H612" s="11">
        <v>500</v>
      </c>
      <c r="I612" s="11">
        <v>1000</v>
      </c>
      <c r="J612" t="s">
        <v>24</v>
      </c>
      <c r="K612" t="s">
        <v>1030</v>
      </c>
      <c r="L612" t="s">
        <v>1038</v>
      </c>
      <c r="M612" t="s">
        <v>1041</v>
      </c>
      <c r="N612">
        <v>5</v>
      </c>
      <c r="O612" t="s">
        <v>1032</v>
      </c>
    </row>
    <row r="613" spans="1:15" x14ac:dyDescent="0.25">
      <c r="A613">
        <v>780</v>
      </c>
      <c r="B613" s="6">
        <v>44979</v>
      </c>
      <c r="C613" s="5" t="s">
        <v>634</v>
      </c>
      <c r="D613" s="5" t="s">
        <v>2</v>
      </c>
      <c r="E613">
        <v>52</v>
      </c>
      <c r="F613" s="5" t="s">
        <v>374</v>
      </c>
      <c r="G613">
        <v>2</v>
      </c>
      <c r="H613" s="11">
        <v>25</v>
      </c>
      <c r="I613" s="11">
        <v>50</v>
      </c>
      <c r="J613" t="s">
        <v>20</v>
      </c>
      <c r="K613" t="s">
        <v>1028</v>
      </c>
      <c r="L613" t="s">
        <v>1038</v>
      </c>
      <c r="M613" t="s">
        <v>1039</v>
      </c>
      <c r="N613">
        <v>2</v>
      </c>
      <c r="O613" t="s">
        <v>1044</v>
      </c>
    </row>
    <row r="614" spans="1:15" x14ac:dyDescent="0.25">
      <c r="A614">
        <v>784</v>
      </c>
      <c r="B614" s="6">
        <v>45234</v>
      </c>
      <c r="C614" s="5" t="s">
        <v>635</v>
      </c>
      <c r="D614" s="5" t="s">
        <v>1</v>
      </c>
      <c r="E614">
        <v>34</v>
      </c>
      <c r="F614" s="5" t="s">
        <v>374</v>
      </c>
      <c r="G614">
        <v>1</v>
      </c>
      <c r="H614" s="11">
        <v>500</v>
      </c>
      <c r="I614" s="11">
        <v>500</v>
      </c>
      <c r="J614" t="s">
        <v>20</v>
      </c>
      <c r="K614" t="s">
        <v>1028</v>
      </c>
      <c r="L614" t="s">
        <v>1038</v>
      </c>
      <c r="M614" t="s">
        <v>1047</v>
      </c>
      <c r="N614">
        <v>11</v>
      </c>
      <c r="O614" t="s">
        <v>1048</v>
      </c>
    </row>
    <row r="615" spans="1:15" x14ac:dyDescent="0.25">
      <c r="A615">
        <v>787</v>
      </c>
      <c r="B615" s="6">
        <v>44948</v>
      </c>
      <c r="C615" s="5" t="s">
        <v>636</v>
      </c>
      <c r="D615" s="5" t="s">
        <v>2</v>
      </c>
      <c r="E615">
        <v>41</v>
      </c>
      <c r="F615" s="5" t="s">
        <v>374</v>
      </c>
      <c r="G615">
        <v>1</v>
      </c>
      <c r="H615" s="11">
        <v>25</v>
      </c>
      <c r="I615" s="11">
        <v>25</v>
      </c>
      <c r="J615" t="s">
        <v>20</v>
      </c>
      <c r="K615" t="s">
        <v>1028</v>
      </c>
      <c r="L615" t="s">
        <v>1038</v>
      </c>
      <c r="M615" t="s">
        <v>1039</v>
      </c>
      <c r="N615">
        <v>1</v>
      </c>
      <c r="O615" t="s">
        <v>1045</v>
      </c>
    </row>
    <row r="616" spans="1:15" x14ac:dyDescent="0.25">
      <c r="A616">
        <v>795</v>
      </c>
      <c r="B616" s="6">
        <v>45258</v>
      </c>
      <c r="C616" s="5" t="s">
        <v>637</v>
      </c>
      <c r="D616" s="5" t="s">
        <v>2</v>
      </c>
      <c r="E616">
        <v>57</v>
      </c>
      <c r="F616" s="5" t="s">
        <v>374</v>
      </c>
      <c r="G616">
        <v>1</v>
      </c>
      <c r="H616" s="11">
        <v>300</v>
      </c>
      <c r="I616" s="11">
        <v>300</v>
      </c>
      <c r="J616" t="s">
        <v>24</v>
      </c>
      <c r="K616" t="s">
        <v>1030</v>
      </c>
      <c r="L616" t="s">
        <v>1038</v>
      </c>
      <c r="M616" t="s">
        <v>1047</v>
      </c>
      <c r="N616">
        <v>11</v>
      </c>
      <c r="O616" t="s">
        <v>1048</v>
      </c>
    </row>
    <row r="617" spans="1:15" x14ac:dyDescent="0.25">
      <c r="A617">
        <v>799</v>
      </c>
      <c r="B617" s="6">
        <v>45177</v>
      </c>
      <c r="C617" s="5" t="s">
        <v>638</v>
      </c>
      <c r="D617" s="5" t="s">
        <v>2</v>
      </c>
      <c r="E617">
        <v>56</v>
      </c>
      <c r="F617" s="5" t="s">
        <v>374</v>
      </c>
      <c r="G617">
        <v>2</v>
      </c>
      <c r="H617" s="11">
        <v>50</v>
      </c>
      <c r="I617" s="11">
        <v>100</v>
      </c>
      <c r="J617" t="s">
        <v>24</v>
      </c>
      <c r="K617" t="s">
        <v>1030</v>
      </c>
      <c r="L617" t="s">
        <v>1038</v>
      </c>
      <c r="M617" t="s">
        <v>1033</v>
      </c>
      <c r="N617">
        <v>9</v>
      </c>
      <c r="O617" t="s">
        <v>1043</v>
      </c>
    </row>
    <row r="618" spans="1:15" x14ac:dyDescent="0.25">
      <c r="A618">
        <v>804</v>
      </c>
      <c r="B618" s="6">
        <v>45162</v>
      </c>
      <c r="C618" s="5" t="s">
        <v>639</v>
      </c>
      <c r="D618" s="5" t="s">
        <v>2</v>
      </c>
      <c r="E618">
        <v>42</v>
      </c>
      <c r="F618" s="5" t="s">
        <v>374</v>
      </c>
      <c r="G618">
        <v>1</v>
      </c>
      <c r="H618" s="11">
        <v>30</v>
      </c>
      <c r="I618" s="11">
        <v>30</v>
      </c>
      <c r="J618" t="s">
        <v>20</v>
      </c>
      <c r="K618" t="s">
        <v>1028</v>
      </c>
      <c r="L618" t="s">
        <v>1038</v>
      </c>
      <c r="M618" t="s">
        <v>1033</v>
      </c>
      <c r="N618">
        <v>8</v>
      </c>
      <c r="O618" t="s">
        <v>1051</v>
      </c>
    </row>
    <row r="619" spans="1:15" x14ac:dyDescent="0.25">
      <c r="A619">
        <v>807</v>
      </c>
      <c r="B619" s="6">
        <v>45149</v>
      </c>
      <c r="C619" s="5" t="s">
        <v>640</v>
      </c>
      <c r="D619" s="5" t="s">
        <v>1</v>
      </c>
      <c r="E619">
        <v>50</v>
      </c>
      <c r="F619" s="5" t="s">
        <v>374</v>
      </c>
      <c r="G619">
        <v>4</v>
      </c>
      <c r="H619" s="11">
        <v>50</v>
      </c>
      <c r="I619" s="11">
        <v>200</v>
      </c>
      <c r="J619" t="s">
        <v>20</v>
      </c>
      <c r="K619" t="s">
        <v>1028</v>
      </c>
      <c r="L619" t="s">
        <v>1038</v>
      </c>
      <c r="M619" t="s">
        <v>1033</v>
      </c>
      <c r="N619">
        <v>8</v>
      </c>
      <c r="O619" t="s">
        <v>1051</v>
      </c>
    </row>
    <row r="620" spans="1:15" x14ac:dyDescent="0.25">
      <c r="A620">
        <v>810</v>
      </c>
      <c r="B620" s="6">
        <v>45260</v>
      </c>
      <c r="C620" s="5" t="s">
        <v>641</v>
      </c>
      <c r="D620" s="5" t="s">
        <v>2</v>
      </c>
      <c r="E620">
        <v>59</v>
      </c>
      <c r="F620" s="5" t="s">
        <v>374</v>
      </c>
      <c r="G620">
        <v>4</v>
      </c>
      <c r="H620" s="11">
        <v>25</v>
      </c>
      <c r="I620" s="11">
        <v>100</v>
      </c>
      <c r="J620" t="s">
        <v>24</v>
      </c>
      <c r="K620" t="s">
        <v>1030</v>
      </c>
      <c r="L620" t="s">
        <v>1038</v>
      </c>
      <c r="M620" t="s">
        <v>1047</v>
      </c>
      <c r="N620">
        <v>11</v>
      </c>
      <c r="O620" t="s">
        <v>1048</v>
      </c>
    </row>
    <row r="621" spans="1:15" x14ac:dyDescent="0.25">
      <c r="A621">
        <v>812</v>
      </c>
      <c r="B621" s="6">
        <v>45242</v>
      </c>
      <c r="C621" s="5" t="s">
        <v>642</v>
      </c>
      <c r="D621" s="5" t="s">
        <v>2</v>
      </c>
      <c r="E621">
        <v>19</v>
      </c>
      <c r="F621" s="5" t="s">
        <v>374</v>
      </c>
      <c r="G621">
        <v>3</v>
      </c>
      <c r="H621" s="11">
        <v>25</v>
      </c>
      <c r="I621" s="11">
        <v>75</v>
      </c>
      <c r="J621" t="s">
        <v>22</v>
      </c>
      <c r="K621" t="s">
        <v>1029</v>
      </c>
      <c r="L621" t="s">
        <v>1038</v>
      </c>
      <c r="M621" t="s">
        <v>1047</v>
      </c>
      <c r="N621">
        <v>11</v>
      </c>
      <c r="O621" t="s">
        <v>1048</v>
      </c>
    </row>
    <row r="622" spans="1:15" x14ac:dyDescent="0.25">
      <c r="A622">
        <v>813</v>
      </c>
      <c r="B622" s="6">
        <v>45202</v>
      </c>
      <c r="C622" s="5" t="s">
        <v>643</v>
      </c>
      <c r="D622" s="5" t="s">
        <v>2</v>
      </c>
      <c r="E622">
        <v>52</v>
      </c>
      <c r="F622" s="5" t="s">
        <v>374</v>
      </c>
      <c r="G622">
        <v>3</v>
      </c>
      <c r="H622" s="11">
        <v>50</v>
      </c>
      <c r="I622" s="11">
        <v>150</v>
      </c>
      <c r="J622" t="s">
        <v>20</v>
      </c>
      <c r="K622" t="s">
        <v>1028</v>
      </c>
      <c r="L622" t="s">
        <v>1038</v>
      </c>
      <c r="M622" t="s">
        <v>1047</v>
      </c>
      <c r="N622">
        <v>10</v>
      </c>
      <c r="O622" t="s">
        <v>1049</v>
      </c>
    </row>
    <row r="623" spans="1:15" x14ac:dyDescent="0.25">
      <c r="A623">
        <v>818</v>
      </c>
      <c r="B623" s="6">
        <v>45064</v>
      </c>
      <c r="C623" s="5" t="s">
        <v>644</v>
      </c>
      <c r="D623" s="5" t="s">
        <v>2</v>
      </c>
      <c r="E623">
        <v>30</v>
      </c>
      <c r="F623" s="5" t="s">
        <v>374</v>
      </c>
      <c r="G623">
        <v>1</v>
      </c>
      <c r="H623" s="11">
        <v>500</v>
      </c>
      <c r="I623" s="11">
        <v>500</v>
      </c>
      <c r="J623" t="s">
        <v>20</v>
      </c>
      <c r="K623" t="s">
        <v>1028</v>
      </c>
      <c r="L623" t="s">
        <v>1038</v>
      </c>
      <c r="M623" t="s">
        <v>1041</v>
      </c>
      <c r="N623">
        <v>5</v>
      </c>
      <c r="O623" t="s">
        <v>1032</v>
      </c>
    </row>
    <row r="624" spans="1:15" x14ac:dyDescent="0.25">
      <c r="A624">
        <v>820</v>
      </c>
      <c r="B624" s="6">
        <v>45052</v>
      </c>
      <c r="C624" s="5" t="s">
        <v>645</v>
      </c>
      <c r="D624" s="5" t="s">
        <v>2</v>
      </c>
      <c r="E624">
        <v>49</v>
      </c>
      <c r="F624" s="5" t="s">
        <v>374</v>
      </c>
      <c r="G624">
        <v>4</v>
      </c>
      <c r="H624" s="11">
        <v>50</v>
      </c>
      <c r="I624" s="11">
        <v>200</v>
      </c>
      <c r="J624" t="s">
        <v>20</v>
      </c>
      <c r="K624" t="s">
        <v>1028</v>
      </c>
      <c r="L624" t="s">
        <v>1038</v>
      </c>
      <c r="M624" t="s">
        <v>1041</v>
      </c>
      <c r="N624">
        <v>5</v>
      </c>
      <c r="O624" t="s">
        <v>1032</v>
      </c>
    </row>
    <row r="625" spans="1:15" x14ac:dyDescent="0.25">
      <c r="A625">
        <v>821</v>
      </c>
      <c r="B625" s="6">
        <v>44971</v>
      </c>
      <c r="C625" s="5" t="s">
        <v>646</v>
      </c>
      <c r="D625" s="5" t="s">
        <v>2</v>
      </c>
      <c r="E625">
        <v>49</v>
      </c>
      <c r="F625" s="5" t="s">
        <v>374</v>
      </c>
      <c r="G625">
        <v>1</v>
      </c>
      <c r="H625" s="11">
        <v>300</v>
      </c>
      <c r="I625" s="11">
        <v>300</v>
      </c>
      <c r="J625" t="s">
        <v>20</v>
      </c>
      <c r="K625" t="s">
        <v>1028</v>
      </c>
      <c r="L625" t="s">
        <v>1038</v>
      </c>
      <c r="M625" t="s">
        <v>1039</v>
      </c>
      <c r="N625">
        <v>2</v>
      </c>
      <c r="O625" t="s">
        <v>1044</v>
      </c>
    </row>
    <row r="626" spans="1:15" x14ac:dyDescent="0.25">
      <c r="A626">
        <v>823</v>
      </c>
      <c r="B626" s="6">
        <v>45157</v>
      </c>
      <c r="C626" s="5" t="s">
        <v>647</v>
      </c>
      <c r="D626" s="5" t="s">
        <v>1</v>
      </c>
      <c r="E626">
        <v>56</v>
      </c>
      <c r="F626" s="5" t="s">
        <v>374</v>
      </c>
      <c r="G626">
        <v>2</v>
      </c>
      <c r="H626" s="11">
        <v>50</v>
      </c>
      <c r="I626" s="11">
        <v>100</v>
      </c>
      <c r="J626" t="s">
        <v>24</v>
      </c>
      <c r="K626" t="s">
        <v>1030</v>
      </c>
      <c r="L626" t="s">
        <v>1038</v>
      </c>
      <c r="M626" t="s">
        <v>1033</v>
      </c>
      <c r="N626">
        <v>8</v>
      </c>
      <c r="O626" t="s">
        <v>1051</v>
      </c>
    </row>
    <row r="627" spans="1:15" x14ac:dyDescent="0.25">
      <c r="A627">
        <v>828</v>
      </c>
      <c r="B627" s="6">
        <v>45269</v>
      </c>
      <c r="C627" s="5" t="s">
        <v>648</v>
      </c>
      <c r="D627" s="5" t="s">
        <v>1</v>
      </c>
      <c r="E627">
        <v>33</v>
      </c>
      <c r="F627" s="5" t="s">
        <v>374</v>
      </c>
      <c r="G627">
        <v>4</v>
      </c>
      <c r="H627" s="11">
        <v>300</v>
      </c>
      <c r="I627" s="11">
        <v>1200</v>
      </c>
      <c r="J627" t="s">
        <v>20</v>
      </c>
      <c r="K627" t="s">
        <v>1028</v>
      </c>
      <c r="L627" t="s">
        <v>1038</v>
      </c>
      <c r="M627" t="s">
        <v>1047</v>
      </c>
      <c r="N627">
        <v>12</v>
      </c>
      <c r="O627" t="s">
        <v>1052</v>
      </c>
    </row>
    <row r="628" spans="1:15" x14ac:dyDescent="0.25">
      <c r="A628">
        <v>831</v>
      </c>
      <c r="B628" s="6">
        <v>44941</v>
      </c>
      <c r="C628" s="5" t="s">
        <v>649</v>
      </c>
      <c r="D628" s="5" t="s">
        <v>2</v>
      </c>
      <c r="E628">
        <v>27</v>
      </c>
      <c r="F628" s="5" t="s">
        <v>374</v>
      </c>
      <c r="G628">
        <v>4</v>
      </c>
      <c r="H628" s="11">
        <v>25</v>
      </c>
      <c r="I628" s="11">
        <v>100</v>
      </c>
      <c r="J628" t="s">
        <v>22</v>
      </c>
      <c r="K628" t="s">
        <v>1029</v>
      </c>
      <c r="L628" t="s">
        <v>1038</v>
      </c>
      <c r="M628" t="s">
        <v>1039</v>
      </c>
      <c r="N628">
        <v>1</v>
      </c>
      <c r="O628" t="s">
        <v>1045</v>
      </c>
    </row>
    <row r="629" spans="1:15" x14ac:dyDescent="0.25">
      <c r="A629">
        <v>838</v>
      </c>
      <c r="B629" s="6">
        <v>45059</v>
      </c>
      <c r="C629" s="5" t="s">
        <v>650</v>
      </c>
      <c r="D629" s="5" t="s">
        <v>2</v>
      </c>
      <c r="E629">
        <v>47</v>
      </c>
      <c r="F629" s="5" t="s">
        <v>374</v>
      </c>
      <c r="G629">
        <v>2</v>
      </c>
      <c r="H629" s="11">
        <v>300</v>
      </c>
      <c r="I629" s="11">
        <v>600</v>
      </c>
      <c r="J629" t="s">
        <v>20</v>
      </c>
      <c r="K629" t="s">
        <v>1028</v>
      </c>
      <c r="L629" t="s">
        <v>1038</v>
      </c>
      <c r="M629" t="s">
        <v>1041</v>
      </c>
      <c r="N629">
        <v>5</v>
      </c>
      <c r="O629" t="s">
        <v>1032</v>
      </c>
    </row>
    <row r="630" spans="1:15" x14ac:dyDescent="0.25">
      <c r="A630">
        <v>839</v>
      </c>
      <c r="B630" s="6">
        <v>45101</v>
      </c>
      <c r="C630" s="5" t="s">
        <v>651</v>
      </c>
      <c r="D630" s="5" t="s">
        <v>1</v>
      </c>
      <c r="E630">
        <v>20</v>
      </c>
      <c r="F630" s="5" t="s">
        <v>374</v>
      </c>
      <c r="G630">
        <v>4</v>
      </c>
      <c r="H630" s="11">
        <v>300</v>
      </c>
      <c r="I630" s="11">
        <v>1200</v>
      </c>
      <c r="J630" t="s">
        <v>22</v>
      </c>
      <c r="K630" t="s">
        <v>1029</v>
      </c>
      <c r="L630" t="s">
        <v>1038</v>
      </c>
      <c r="M630" t="s">
        <v>1041</v>
      </c>
      <c r="N630">
        <v>6</v>
      </c>
      <c r="O630" t="s">
        <v>1050</v>
      </c>
    </row>
    <row r="631" spans="1:15" x14ac:dyDescent="0.25">
      <c r="A631">
        <v>841</v>
      </c>
      <c r="B631" s="6">
        <v>45232</v>
      </c>
      <c r="C631" s="5" t="s">
        <v>652</v>
      </c>
      <c r="D631" s="5" t="s">
        <v>2</v>
      </c>
      <c r="E631">
        <v>31</v>
      </c>
      <c r="F631" s="5" t="s">
        <v>374</v>
      </c>
      <c r="G631">
        <v>4</v>
      </c>
      <c r="H631" s="11">
        <v>25</v>
      </c>
      <c r="I631" s="11">
        <v>100</v>
      </c>
      <c r="J631" t="s">
        <v>20</v>
      </c>
      <c r="K631" t="s">
        <v>1028</v>
      </c>
      <c r="L631" t="s">
        <v>1038</v>
      </c>
      <c r="M631" t="s">
        <v>1047</v>
      </c>
      <c r="N631">
        <v>11</v>
      </c>
      <c r="O631" t="s">
        <v>1048</v>
      </c>
    </row>
    <row r="632" spans="1:15" x14ac:dyDescent="0.25">
      <c r="A632">
        <v>847</v>
      </c>
      <c r="B632" s="6">
        <v>45024</v>
      </c>
      <c r="C632" s="5" t="s">
        <v>653</v>
      </c>
      <c r="D632" s="5" t="s">
        <v>1</v>
      </c>
      <c r="E632">
        <v>18</v>
      </c>
      <c r="F632" s="5" t="s">
        <v>374</v>
      </c>
      <c r="G632">
        <v>4</v>
      </c>
      <c r="H632" s="11">
        <v>300</v>
      </c>
      <c r="I632" s="11">
        <v>1200</v>
      </c>
      <c r="J632" t="s">
        <v>22</v>
      </c>
      <c r="K632" t="s">
        <v>1029</v>
      </c>
      <c r="L632" t="s">
        <v>1038</v>
      </c>
      <c r="M632" t="s">
        <v>1041</v>
      </c>
      <c r="N632">
        <v>4</v>
      </c>
      <c r="O632" t="s">
        <v>1042</v>
      </c>
    </row>
    <row r="633" spans="1:15" x14ac:dyDescent="0.25">
      <c r="A633">
        <v>851</v>
      </c>
      <c r="B633" s="6">
        <v>45177</v>
      </c>
      <c r="C633" s="5" t="s">
        <v>654</v>
      </c>
      <c r="D633" s="5" t="s">
        <v>2</v>
      </c>
      <c r="E633">
        <v>32</v>
      </c>
      <c r="F633" s="5" t="s">
        <v>374</v>
      </c>
      <c r="G633">
        <v>2</v>
      </c>
      <c r="H633" s="11">
        <v>25</v>
      </c>
      <c r="I633" s="11">
        <v>50</v>
      </c>
      <c r="J633" t="s">
        <v>20</v>
      </c>
      <c r="K633" t="s">
        <v>1028</v>
      </c>
      <c r="L633" t="s">
        <v>1038</v>
      </c>
      <c r="M633" t="s">
        <v>1033</v>
      </c>
      <c r="N633">
        <v>9</v>
      </c>
      <c r="O633" t="s">
        <v>1043</v>
      </c>
    </row>
    <row r="634" spans="1:15" x14ac:dyDescent="0.25">
      <c r="A634">
        <v>856</v>
      </c>
      <c r="B634" s="6">
        <v>45257</v>
      </c>
      <c r="C634" s="5" t="s">
        <v>655</v>
      </c>
      <c r="D634" s="5" t="s">
        <v>2</v>
      </c>
      <c r="E634">
        <v>54</v>
      </c>
      <c r="F634" s="5" t="s">
        <v>374</v>
      </c>
      <c r="G634">
        <v>4</v>
      </c>
      <c r="H634" s="11">
        <v>30</v>
      </c>
      <c r="I634" s="11">
        <v>120</v>
      </c>
      <c r="J634" t="s">
        <v>20</v>
      </c>
      <c r="K634" t="s">
        <v>1028</v>
      </c>
      <c r="L634" t="s">
        <v>1038</v>
      </c>
      <c r="M634" t="s">
        <v>1047</v>
      </c>
      <c r="N634">
        <v>11</v>
      </c>
      <c r="O634" t="s">
        <v>1048</v>
      </c>
    </row>
    <row r="635" spans="1:15" x14ac:dyDescent="0.25">
      <c r="A635">
        <v>857</v>
      </c>
      <c r="B635" s="6">
        <v>45291</v>
      </c>
      <c r="C635" s="5" t="s">
        <v>656</v>
      </c>
      <c r="D635" s="5" t="s">
        <v>2</v>
      </c>
      <c r="E635">
        <v>60</v>
      </c>
      <c r="F635" s="5" t="s">
        <v>374</v>
      </c>
      <c r="G635">
        <v>2</v>
      </c>
      <c r="H635" s="11">
        <v>25</v>
      </c>
      <c r="I635" s="11">
        <v>50</v>
      </c>
      <c r="J635" t="s">
        <v>24</v>
      </c>
      <c r="K635" t="s">
        <v>1030</v>
      </c>
      <c r="L635" t="s">
        <v>1038</v>
      </c>
      <c r="M635" t="s">
        <v>1047</v>
      </c>
      <c r="N635">
        <v>12</v>
      </c>
      <c r="O635" t="s">
        <v>1052</v>
      </c>
    </row>
    <row r="636" spans="1:15" x14ac:dyDescent="0.25">
      <c r="A636">
        <v>858</v>
      </c>
      <c r="B636" s="6">
        <v>45178</v>
      </c>
      <c r="C636" s="5" t="s">
        <v>657</v>
      </c>
      <c r="D636" s="5" t="s">
        <v>2</v>
      </c>
      <c r="E636">
        <v>23</v>
      </c>
      <c r="F636" s="5" t="s">
        <v>374</v>
      </c>
      <c r="G636">
        <v>2</v>
      </c>
      <c r="H636" s="11">
        <v>50</v>
      </c>
      <c r="I636" s="11">
        <v>100</v>
      </c>
      <c r="J636" t="s">
        <v>22</v>
      </c>
      <c r="K636" t="s">
        <v>1029</v>
      </c>
      <c r="L636" t="s">
        <v>1038</v>
      </c>
      <c r="M636" t="s">
        <v>1033</v>
      </c>
      <c r="N636">
        <v>9</v>
      </c>
      <c r="O636" t="s">
        <v>1043</v>
      </c>
    </row>
    <row r="637" spans="1:15" x14ac:dyDescent="0.25">
      <c r="A637">
        <v>859</v>
      </c>
      <c r="B637" s="6">
        <v>45156</v>
      </c>
      <c r="C637" s="5" t="s">
        <v>658</v>
      </c>
      <c r="D637" s="5" t="s">
        <v>1</v>
      </c>
      <c r="E637">
        <v>56</v>
      </c>
      <c r="F637" s="5" t="s">
        <v>374</v>
      </c>
      <c r="G637">
        <v>3</v>
      </c>
      <c r="H637" s="11">
        <v>500</v>
      </c>
      <c r="I637" s="11">
        <v>1500</v>
      </c>
      <c r="J637" t="s">
        <v>24</v>
      </c>
      <c r="K637" t="s">
        <v>1030</v>
      </c>
      <c r="L637" t="s">
        <v>1038</v>
      </c>
      <c r="M637" t="s">
        <v>1033</v>
      </c>
      <c r="N637">
        <v>8</v>
      </c>
      <c r="O637" t="s">
        <v>1051</v>
      </c>
    </row>
    <row r="638" spans="1:15" x14ac:dyDescent="0.25">
      <c r="A638">
        <v>862</v>
      </c>
      <c r="B638" s="6">
        <v>45077</v>
      </c>
      <c r="C638" s="5" t="s">
        <v>659</v>
      </c>
      <c r="D638" s="5" t="s">
        <v>2</v>
      </c>
      <c r="E638">
        <v>28</v>
      </c>
      <c r="F638" s="5" t="s">
        <v>374</v>
      </c>
      <c r="G638">
        <v>4</v>
      </c>
      <c r="H638" s="11">
        <v>300</v>
      </c>
      <c r="I638" s="11">
        <v>1200</v>
      </c>
      <c r="J638" t="s">
        <v>22</v>
      </c>
      <c r="K638" t="s">
        <v>1029</v>
      </c>
      <c r="L638" t="s">
        <v>1038</v>
      </c>
      <c r="M638" t="s">
        <v>1041</v>
      </c>
      <c r="N638">
        <v>5</v>
      </c>
      <c r="O638" t="s">
        <v>1032</v>
      </c>
    </row>
    <row r="639" spans="1:15" x14ac:dyDescent="0.25">
      <c r="A639">
        <v>863</v>
      </c>
      <c r="B639" s="6">
        <v>45040</v>
      </c>
      <c r="C639" s="5" t="s">
        <v>660</v>
      </c>
      <c r="D639" s="5" t="s">
        <v>1</v>
      </c>
      <c r="E639">
        <v>30</v>
      </c>
      <c r="F639" s="5" t="s">
        <v>374</v>
      </c>
      <c r="G639">
        <v>2</v>
      </c>
      <c r="H639" s="11">
        <v>25</v>
      </c>
      <c r="I639" s="11">
        <v>50</v>
      </c>
      <c r="J639" t="s">
        <v>20</v>
      </c>
      <c r="K639" t="s">
        <v>1028</v>
      </c>
      <c r="L639" t="s">
        <v>1038</v>
      </c>
      <c r="M639" t="s">
        <v>1041</v>
      </c>
      <c r="N639">
        <v>4</v>
      </c>
      <c r="O639" t="s">
        <v>1042</v>
      </c>
    </row>
    <row r="640" spans="1:15" x14ac:dyDescent="0.25">
      <c r="A640">
        <v>864</v>
      </c>
      <c r="B640" s="6">
        <v>45134</v>
      </c>
      <c r="C640" s="5" t="s">
        <v>661</v>
      </c>
      <c r="D640" s="5" t="s">
        <v>1</v>
      </c>
      <c r="E640">
        <v>51</v>
      </c>
      <c r="F640" s="5" t="s">
        <v>374</v>
      </c>
      <c r="G640">
        <v>1</v>
      </c>
      <c r="H640" s="11">
        <v>500</v>
      </c>
      <c r="I640" s="11">
        <v>500</v>
      </c>
      <c r="J640" t="s">
        <v>20</v>
      </c>
      <c r="K640" t="s">
        <v>1028</v>
      </c>
      <c r="L640" t="s">
        <v>1038</v>
      </c>
      <c r="M640" t="s">
        <v>1033</v>
      </c>
      <c r="N640">
        <v>7</v>
      </c>
      <c r="O640" t="s">
        <v>1046</v>
      </c>
    </row>
    <row r="641" spans="1:15" x14ac:dyDescent="0.25">
      <c r="A641">
        <v>866</v>
      </c>
      <c r="B641" s="6">
        <v>45051</v>
      </c>
      <c r="C641" s="5" t="s">
        <v>662</v>
      </c>
      <c r="D641" s="5" t="s">
        <v>2</v>
      </c>
      <c r="E641">
        <v>24</v>
      </c>
      <c r="F641" s="5" t="s">
        <v>374</v>
      </c>
      <c r="G641">
        <v>1</v>
      </c>
      <c r="H641" s="11">
        <v>50</v>
      </c>
      <c r="I641" s="11">
        <v>50</v>
      </c>
      <c r="J641" t="s">
        <v>22</v>
      </c>
      <c r="K641" t="s">
        <v>1029</v>
      </c>
      <c r="L641" t="s">
        <v>1038</v>
      </c>
      <c r="M641" t="s">
        <v>1041</v>
      </c>
      <c r="N641">
        <v>5</v>
      </c>
      <c r="O641" t="s">
        <v>1032</v>
      </c>
    </row>
    <row r="642" spans="1:15" x14ac:dyDescent="0.25">
      <c r="A642">
        <v>867</v>
      </c>
      <c r="B642" s="6">
        <v>45083</v>
      </c>
      <c r="C642" s="5" t="s">
        <v>663</v>
      </c>
      <c r="D642" s="5" t="s">
        <v>2</v>
      </c>
      <c r="E642">
        <v>21</v>
      </c>
      <c r="F642" s="5" t="s">
        <v>374</v>
      </c>
      <c r="G642">
        <v>1</v>
      </c>
      <c r="H642" s="11">
        <v>500</v>
      </c>
      <c r="I642" s="11">
        <v>500</v>
      </c>
      <c r="J642" t="s">
        <v>22</v>
      </c>
      <c r="K642" t="s">
        <v>1029</v>
      </c>
      <c r="L642" t="s">
        <v>1038</v>
      </c>
      <c r="M642" t="s">
        <v>1041</v>
      </c>
      <c r="N642">
        <v>6</v>
      </c>
      <c r="O642" t="s">
        <v>1050</v>
      </c>
    </row>
    <row r="643" spans="1:15" x14ac:dyDescent="0.25">
      <c r="A643">
        <v>868</v>
      </c>
      <c r="B643" s="6">
        <v>45266</v>
      </c>
      <c r="C643" s="5" t="s">
        <v>664</v>
      </c>
      <c r="D643" s="5" t="s">
        <v>1</v>
      </c>
      <c r="E643">
        <v>25</v>
      </c>
      <c r="F643" s="5" t="s">
        <v>374</v>
      </c>
      <c r="G643">
        <v>1</v>
      </c>
      <c r="H643" s="11">
        <v>300</v>
      </c>
      <c r="I643" s="11">
        <v>300</v>
      </c>
      <c r="J643" t="s">
        <v>22</v>
      </c>
      <c r="K643" t="s">
        <v>1029</v>
      </c>
      <c r="L643" t="s">
        <v>1038</v>
      </c>
      <c r="M643" t="s">
        <v>1047</v>
      </c>
      <c r="N643">
        <v>12</v>
      </c>
      <c r="O643" t="s">
        <v>1052</v>
      </c>
    </row>
    <row r="644" spans="1:15" x14ac:dyDescent="0.25">
      <c r="A644">
        <v>870</v>
      </c>
      <c r="B644" s="6">
        <v>45115</v>
      </c>
      <c r="C644" s="5" t="s">
        <v>665</v>
      </c>
      <c r="D644" s="5" t="s">
        <v>1</v>
      </c>
      <c r="E644">
        <v>46</v>
      </c>
      <c r="F644" s="5" t="s">
        <v>374</v>
      </c>
      <c r="G644">
        <v>4</v>
      </c>
      <c r="H644" s="11">
        <v>30</v>
      </c>
      <c r="I644" s="11">
        <v>120</v>
      </c>
      <c r="J644" t="s">
        <v>20</v>
      </c>
      <c r="K644" t="s">
        <v>1028</v>
      </c>
      <c r="L644" t="s">
        <v>1038</v>
      </c>
      <c r="M644" t="s">
        <v>1033</v>
      </c>
      <c r="N644">
        <v>7</v>
      </c>
      <c r="O644" t="s">
        <v>1046</v>
      </c>
    </row>
    <row r="645" spans="1:15" x14ac:dyDescent="0.25">
      <c r="A645">
        <v>873</v>
      </c>
      <c r="B645" s="6">
        <v>45198</v>
      </c>
      <c r="C645" s="5" t="s">
        <v>666</v>
      </c>
      <c r="D645" s="5" t="s">
        <v>1</v>
      </c>
      <c r="E645">
        <v>27</v>
      </c>
      <c r="F645" s="5" t="s">
        <v>374</v>
      </c>
      <c r="G645">
        <v>4</v>
      </c>
      <c r="H645" s="11">
        <v>25</v>
      </c>
      <c r="I645" s="11">
        <v>100</v>
      </c>
      <c r="J645" t="s">
        <v>22</v>
      </c>
      <c r="K645" t="s">
        <v>1029</v>
      </c>
      <c r="L645" t="s">
        <v>1038</v>
      </c>
      <c r="M645" t="s">
        <v>1033</v>
      </c>
      <c r="N645">
        <v>9</v>
      </c>
      <c r="O645" t="s">
        <v>1043</v>
      </c>
    </row>
    <row r="646" spans="1:15" x14ac:dyDescent="0.25">
      <c r="A646">
        <v>875</v>
      </c>
      <c r="B646" s="6">
        <v>45144</v>
      </c>
      <c r="C646" s="5" t="s">
        <v>667</v>
      </c>
      <c r="D646" s="5" t="s">
        <v>1</v>
      </c>
      <c r="E646">
        <v>51</v>
      </c>
      <c r="F646" s="5" t="s">
        <v>374</v>
      </c>
      <c r="G646">
        <v>4</v>
      </c>
      <c r="H646" s="11">
        <v>500</v>
      </c>
      <c r="I646" s="11">
        <v>2000</v>
      </c>
      <c r="J646" t="s">
        <v>20</v>
      </c>
      <c r="K646" t="s">
        <v>1028</v>
      </c>
      <c r="L646" t="s">
        <v>1038</v>
      </c>
      <c r="M646" t="s">
        <v>1033</v>
      </c>
      <c r="N646">
        <v>8</v>
      </c>
      <c r="O646" t="s">
        <v>1051</v>
      </c>
    </row>
    <row r="647" spans="1:15" x14ac:dyDescent="0.25">
      <c r="A647">
        <v>881</v>
      </c>
      <c r="B647" s="6">
        <v>45065</v>
      </c>
      <c r="C647" s="5" t="s">
        <v>668</v>
      </c>
      <c r="D647" s="5" t="s">
        <v>2</v>
      </c>
      <c r="E647">
        <v>22</v>
      </c>
      <c r="F647" s="5" t="s">
        <v>374</v>
      </c>
      <c r="G647">
        <v>1</v>
      </c>
      <c r="H647" s="11">
        <v>300</v>
      </c>
      <c r="I647" s="11">
        <v>300</v>
      </c>
      <c r="J647" t="s">
        <v>22</v>
      </c>
      <c r="K647" t="s">
        <v>1029</v>
      </c>
      <c r="L647" t="s">
        <v>1038</v>
      </c>
      <c r="M647" t="s">
        <v>1041</v>
      </c>
      <c r="N647">
        <v>5</v>
      </c>
      <c r="O647" t="s">
        <v>1032</v>
      </c>
    </row>
    <row r="648" spans="1:15" x14ac:dyDescent="0.25">
      <c r="A648">
        <v>882</v>
      </c>
      <c r="B648" s="6">
        <v>45083</v>
      </c>
      <c r="C648" s="5" t="s">
        <v>669</v>
      </c>
      <c r="D648" s="5" t="s">
        <v>1</v>
      </c>
      <c r="E648">
        <v>64</v>
      </c>
      <c r="F648" s="5" t="s">
        <v>374</v>
      </c>
      <c r="G648">
        <v>2</v>
      </c>
      <c r="H648" s="11">
        <v>25</v>
      </c>
      <c r="I648" s="11">
        <v>50</v>
      </c>
      <c r="J648" t="s">
        <v>24</v>
      </c>
      <c r="K648" t="s">
        <v>1030</v>
      </c>
      <c r="L648" t="s">
        <v>1038</v>
      </c>
      <c r="M648" t="s">
        <v>1041</v>
      </c>
      <c r="N648">
        <v>6</v>
      </c>
      <c r="O648" t="s">
        <v>1050</v>
      </c>
    </row>
    <row r="649" spans="1:15" x14ac:dyDescent="0.25">
      <c r="A649">
        <v>883</v>
      </c>
      <c r="B649" s="6">
        <v>45055</v>
      </c>
      <c r="C649" s="5" t="s">
        <v>670</v>
      </c>
      <c r="D649" s="5" t="s">
        <v>2</v>
      </c>
      <c r="E649">
        <v>40</v>
      </c>
      <c r="F649" s="5" t="s">
        <v>374</v>
      </c>
      <c r="G649">
        <v>1</v>
      </c>
      <c r="H649" s="11">
        <v>500</v>
      </c>
      <c r="I649" s="11">
        <v>500</v>
      </c>
      <c r="J649" t="s">
        <v>20</v>
      </c>
      <c r="K649" t="s">
        <v>1028</v>
      </c>
      <c r="L649" t="s">
        <v>1038</v>
      </c>
      <c r="M649" t="s">
        <v>1041</v>
      </c>
      <c r="N649">
        <v>5</v>
      </c>
      <c r="O649" t="s">
        <v>1032</v>
      </c>
    </row>
    <row r="650" spans="1:15" x14ac:dyDescent="0.25">
      <c r="A650">
        <v>886</v>
      </c>
      <c r="B650" s="6">
        <v>45025</v>
      </c>
      <c r="C650" s="5" t="s">
        <v>671</v>
      </c>
      <c r="D650" s="5" t="s">
        <v>2</v>
      </c>
      <c r="E650">
        <v>37</v>
      </c>
      <c r="F650" s="5" t="s">
        <v>374</v>
      </c>
      <c r="G650">
        <v>3</v>
      </c>
      <c r="H650" s="11">
        <v>300</v>
      </c>
      <c r="I650" s="11">
        <v>900</v>
      </c>
      <c r="J650" t="s">
        <v>20</v>
      </c>
      <c r="K650" t="s">
        <v>1028</v>
      </c>
      <c r="L650" t="s">
        <v>1038</v>
      </c>
      <c r="M650" t="s">
        <v>1041</v>
      </c>
      <c r="N650">
        <v>4</v>
      </c>
      <c r="O650" t="s">
        <v>1042</v>
      </c>
    </row>
    <row r="651" spans="1:15" x14ac:dyDescent="0.25">
      <c r="A651">
        <v>888</v>
      </c>
      <c r="B651" s="6">
        <v>44988</v>
      </c>
      <c r="C651" s="5" t="s">
        <v>672</v>
      </c>
      <c r="D651" s="5" t="s">
        <v>1</v>
      </c>
      <c r="E651">
        <v>52</v>
      </c>
      <c r="F651" s="5" t="s">
        <v>374</v>
      </c>
      <c r="G651">
        <v>4</v>
      </c>
      <c r="H651" s="11">
        <v>25</v>
      </c>
      <c r="I651" s="11">
        <v>100</v>
      </c>
      <c r="J651" t="s">
        <v>20</v>
      </c>
      <c r="K651" t="s">
        <v>1028</v>
      </c>
      <c r="L651" t="s">
        <v>1038</v>
      </c>
      <c r="M651" t="s">
        <v>1039</v>
      </c>
      <c r="N651">
        <v>3</v>
      </c>
      <c r="O651" t="s">
        <v>1040</v>
      </c>
    </row>
    <row r="652" spans="1:15" x14ac:dyDescent="0.25">
      <c r="A652">
        <v>889</v>
      </c>
      <c r="B652" s="6">
        <v>45201</v>
      </c>
      <c r="C652" s="5" t="s">
        <v>673</v>
      </c>
      <c r="D652" s="5" t="s">
        <v>1</v>
      </c>
      <c r="E652">
        <v>35</v>
      </c>
      <c r="F652" s="5" t="s">
        <v>374</v>
      </c>
      <c r="G652">
        <v>1</v>
      </c>
      <c r="H652" s="11">
        <v>50</v>
      </c>
      <c r="I652" s="11">
        <v>50</v>
      </c>
      <c r="J652" t="s">
        <v>20</v>
      </c>
      <c r="K652" t="s">
        <v>1028</v>
      </c>
      <c r="L652" t="s">
        <v>1038</v>
      </c>
      <c r="M652" t="s">
        <v>1047</v>
      </c>
      <c r="N652">
        <v>10</v>
      </c>
      <c r="O652" t="s">
        <v>1049</v>
      </c>
    </row>
    <row r="653" spans="1:15" x14ac:dyDescent="0.25">
      <c r="A653">
        <v>890</v>
      </c>
      <c r="B653" s="6">
        <v>45280</v>
      </c>
      <c r="C653" s="5" t="s">
        <v>674</v>
      </c>
      <c r="D653" s="5" t="s">
        <v>2</v>
      </c>
      <c r="E653">
        <v>34</v>
      </c>
      <c r="F653" s="5" t="s">
        <v>374</v>
      </c>
      <c r="G653">
        <v>2</v>
      </c>
      <c r="H653" s="11">
        <v>25</v>
      </c>
      <c r="I653" s="11">
        <v>50</v>
      </c>
      <c r="J653" t="s">
        <v>20</v>
      </c>
      <c r="K653" t="s">
        <v>1028</v>
      </c>
      <c r="L653" t="s">
        <v>1038</v>
      </c>
      <c r="M653" t="s">
        <v>1047</v>
      </c>
      <c r="N653">
        <v>12</v>
      </c>
      <c r="O653" t="s">
        <v>1052</v>
      </c>
    </row>
    <row r="654" spans="1:15" x14ac:dyDescent="0.25">
      <c r="A654">
        <v>891</v>
      </c>
      <c r="B654" s="6">
        <v>45021</v>
      </c>
      <c r="C654" s="5" t="s">
        <v>675</v>
      </c>
      <c r="D654" s="5" t="s">
        <v>2</v>
      </c>
      <c r="E654">
        <v>41</v>
      </c>
      <c r="F654" s="5" t="s">
        <v>374</v>
      </c>
      <c r="G654">
        <v>3</v>
      </c>
      <c r="H654" s="11">
        <v>300</v>
      </c>
      <c r="I654" s="11">
        <v>900</v>
      </c>
      <c r="J654" t="s">
        <v>20</v>
      </c>
      <c r="K654" t="s">
        <v>1028</v>
      </c>
      <c r="L654" t="s">
        <v>1038</v>
      </c>
      <c r="M654" t="s">
        <v>1041</v>
      </c>
      <c r="N654">
        <v>4</v>
      </c>
      <c r="O654" t="s">
        <v>1042</v>
      </c>
    </row>
    <row r="655" spans="1:15" x14ac:dyDescent="0.25">
      <c r="A655">
        <v>892</v>
      </c>
      <c r="B655" s="6">
        <v>45025</v>
      </c>
      <c r="C655" s="5" t="s">
        <v>676</v>
      </c>
      <c r="D655" s="5" t="s">
        <v>2</v>
      </c>
      <c r="E655">
        <v>20</v>
      </c>
      <c r="F655" s="5" t="s">
        <v>374</v>
      </c>
      <c r="G655">
        <v>1</v>
      </c>
      <c r="H655" s="11">
        <v>50</v>
      </c>
      <c r="I655" s="11">
        <v>50</v>
      </c>
      <c r="J655" t="s">
        <v>22</v>
      </c>
      <c r="K655" t="s">
        <v>1029</v>
      </c>
      <c r="L655" t="s">
        <v>1038</v>
      </c>
      <c r="M655" t="s">
        <v>1041</v>
      </c>
      <c r="N655">
        <v>4</v>
      </c>
      <c r="O655" t="s">
        <v>1042</v>
      </c>
    </row>
    <row r="656" spans="1:15" x14ac:dyDescent="0.25">
      <c r="A656">
        <v>893</v>
      </c>
      <c r="B656" s="6">
        <v>45037</v>
      </c>
      <c r="C656" s="5" t="s">
        <v>677</v>
      </c>
      <c r="D656" s="5" t="s">
        <v>2</v>
      </c>
      <c r="E656">
        <v>49</v>
      </c>
      <c r="F656" s="5" t="s">
        <v>374</v>
      </c>
      <c r="G656">
        <v>1</v>
      </c>
      <c r="H656" s="11">
        <v>50</v>
      </c>
      <c r="I656" s="11">
        <v>50</v>
      </c>
      <c r="J656" t="s">
        <v>20</v>
      </c>
      <c r="K656" t="s">
        <v>1028</v>
      </c>
      <c r="L656" t="s">
        <v>1038</v>
      </c>
      <c r="M656" t="s">
        <v>1041</v>
      </c>
      <c r="N656">
        <v>4</v>
      </c>
      <c r="O656" t="s">
        <v>1042</v>
      </c>
    </row>
    <row r="657" spans="1:15" x14ac:dyDescent="0.25">
      <c r="A657">
        <v>894</v>
      </c>
      <c r="B657" s="6">
        <v>45174</v>
      </c>
      <c r="C657" s="5" t="s">
        <v>678</v>
      </c>
      <c r="D657" s="5" t="s">
        <v>2</v>
      </c>
      <c r="E657">
        <v>52</v>
      </c>
      <c r="F657" s="5" t="s">
        <v>374</v>
      </c>
      <c r="G657">
        <v>1</v>
      </c>
      <c r="H657" s="11">
        <v>30</v>
      </c>
      <c r="I657" s="11">
        <v>30</v>
      </c>
      <c r="J657" t="s">
        <v>20</v>
      </c>
      <c r="K657" t="s">
        <v>1028</v>
      </c>
      <c r="L657" t="s">
        <v>1038</v>
      </c>
      <c r="M657" t="s">
        <v>1033</v>
      </c>
      <c r="N657">
        <v>9</v>
      </c>
      <c r="O657" t="s">
        <v>1043</v>
      </c>
    </row>
    <row r="658" spans="1:15" x14ac:dyDescent="0.25">
      <c r="A658">
        <v>896</v>
      </c>
      <c r="B658" s="6">
        <v>45228</v>
      </c>
      <c r="C658" s="5" t="s">
        <v>679</v>
      </c>
      <c r="D658" s="5" t="s">
        <v>1</v>
      </c>
      <c r="E658">
        <v>30</v>
      </c>
      <c r="F658" s="5" t="s">
        <v>374</v>
      </c>
      <c r="G658">
        <v>2</v>
      </c>
      <c r="H658" s="11">
        <v>25</v>
      </c>
      <c r="I658" s="11">
        <v>50</v>
      </c>
      <c r="J658" t="s">
        <v>20</v>
      </c>
      <c r="K658" t="s">
        <v>1028</v>
      </c>
      <c r="L658" t="s">
        <v>1038</v>
      </c>
      <c r="M658" t="s">
        <v>1047</v>
      </c>
      <c r="N658">
        <v>10</v>
      </c>
      <c r="O658" t="s">
        <v>1049</v>
      </c>
    </row>
    <row r="659" spans="1:15" x14ac:dyDescent="0.25">
      <c r="A659">
        <v>897</v>
      </c>
      <c r="B659" s="6">
        <v>45195</v>
      </c>
      <c r="C659" s="5" t="s">
        <v>680</v>
      </c>
      <c r="D659" s="5" t="s">
        <v>1</v>
      </c>
      <c r="E659">
        <v>64</v>
      </c>
      <c r="F659" s="5" t="s">
        <v>374</v>
      </c>
      <c r="G659">
        <v>2</v>
      </c>
      <c r="H659" s="11">
        <v>50</v>
      </c>
      <c r="I659" s="11">
        <v>100</v>
      </c>
      <c r="J659" t="s">
        <v>24</v>
      </c>
      <c r="K659" t="s">
        <v>1030</v>
      </c>
      <c r="L659" t="s">
        <v>1038</v>
      </c>
      <c r="M659" t="s">
        <v>1033</v>
      </c>
      <c r="N659">
        <v>9</v>
      </c>
      <c r="O659" t="s">
        <v>1043</v>
      </c>
    </row>
    <row r="660" spans="1:15" x14ac:dyDescent="0.25">
      <c r="A660">
        <v>901</v>
      </c>
      <c r="B660" s="6">
        <v>45026</v>
      </c>
      <c r="C660" s="5" t="s">
        <v>681</v>
      </c>
      <c r="D660" s="5" t="s">
        <v>2</v>
      </c>
      <c r="E660">
        <v>31</v>
      </c>
      <c r="F660" s="5" t="s">
        <v>374</v>
      </c>
      <c r="G660">
        <v>1</v>
      </c>
      <c r="H660" s="11">
        <v>30</v>
      </c>
      <c r="I660" s="11">
        <v>30</v>
      </c>
      <c r="J660" t="s">
        <v>20</v>
      </c>
      <c r="K660" t="s">
        <v>1028</v>
      </c>
      <c r="L660" t="s">
        <v>1038</v>
      </c>
      <c r="M660" t="s">
        <v>1041</v>
      </c>
      <c r="N660">
        <v>4</v>
      </c>
      <c r="O660" t="s">
        <v>1042</v>
      </c>
    </row>
    <row r="661" spans="1:15" x14ac:dyDescent="0.25">
      <c r="A661">
        <v>907</v>
      </c>
      <c r="B661" s="6">
        <v>44934</v>
      </c>
      <c r="C661" s="5" t="s">
        <v>682</v>
      </c>
      <c r="D661" s="5" t="s">
        <v>1</v>
      </c>
      <c r="E661">
        <v>45</v>
      </c>
      <c r="F661" s="5" t="s">
        <v>374</v>
      </c>
      <c r="G661">
        <v>1</v>
      </c>
      <c r="H661" s="11">
        <v>25</v>
      </c>
      <c r="I661" s="11">
        <v>25</v>
      </c>
      <c r="J661" t="s">
        <v>20</v>
      </c>
      <c r="K661" t="s">
        <v>1028</v>
      </c>
      <c r="L661" t="s">
        <v>1038</v>
      </c>
      <c r="M661" t="s">
        <v>1039</v>
      </c>
      <c r="N661">
        <v>1</v>
      </c>
      <c r="O661" t="s">
        <v>1045</v>
      </c>
    </row>
    <row r="662" spans="1:15" x14ac:dyDescent="0.25">
      <c r="A662">
        <v>909</v>
      </c>
      <c r="B662" s="6">
        <v>45200</v>
      </c>
      <c r="C662" s="5" t="s">
        <v>683</v>
      </c>
      <c r="D662" s="5" t="s">
        <v>2</v>
      </c>
      <c r="E662">
        <v>26</v>
      </c>
      <c r="F662" s="5" t="s">
        <v>374</v>
      </c>
      <c r="G662">
        <v>1</v>
      </c>
      <c r="H662" s="11">
        <v>300</v>
      </c>
      <c r="I662" s="11">
        <v>300</v>
      </c>
      <c r="J662" t="s">
        <v>22</v>
      </c>
      <c r="K662" t="s">
        <v>1029</v>
      </c>
      <c r="L662" t="s">
        <v>1038</v>
      </c>
      <c r="M662" t="s">
        <v>1047</v>
      </c>
      <c r="N662">
        <v>10</v>
      </c>
      <c r="O662" t="s">
        <v>1049</v>
      </c>
    </row>
    <row r="663" spans="1:15" x14ac:dyDescent="0.25">
      <c r="A663">
        <v>911</v>
      </c>
      <c r="B663" s="6">
        <v>45067</v>
      </c>
      <c r="C663" s="5" t="s">
        <v>684</v>
      </c>
      <c r="D663" s="5" t="s">
        <v>2</v>
      </c>
      <c r="E663">
        <v>42</v>
      </c>
      <c r="F663" s="5" t="s">
        <v>374</v>
      </c>
      <c r="G663">
        <v>3</v>
      </c>
      <c r="H663" s="11">
        <v>300</v>
      </c>
      <c r="I663" s="11">
        <v>900</v>
      </c>
      <c r="J663" t="s">
        <v>20</v>
      </c>
      <c r="K663" t="s">
        <v>1028</v>
      </c>
      <c r="L663" t="s">
        <v>1038</v>
      </c>
      <c r="M663" t="s">
        <v>1041</v>
      </c>
      <c r="N663">
        <v>5</v>
      </c>
      <c r="O663" t="s">
        <v>1032</v>
      </c>
    </row>
    <row r="664" spans="1:15" x14ac:dyDescent="0.25">
      <c r="A664">
        <v>913</v>
      </c>
      <c r="B664" s="6">
        <v>44954</v>
      </c>
      <c r="C664" s="5" t="s">
        <v>685</v>
      </c>
      <c r="D664" s="5" t="s">
        <v>2</v>
      </c>
      <c r="E664">
        <v>29</v>
      </c>
      <c r="F664" s="5" t="s">
        <v>374</v>
      </c>
      <c r="G664">
        <v>3</v>
      </c>
      <c r="H664" s="11">
        <v>30</v>
      </c>
      <c r="I664" s="11">
        <v>90</v>
      </c>
      <c r="J664" t="s">
        <v>22</v>
      </c>
      <c r="K664" t="s">
        <v>1029</v>
      </c>
      <c r="L664" t="s">
        <v>1038</v>
      </c>
      <c r="M664" t="s">
        <v>1039</v>
      </c>
      <c r="N664">
        <v>1</v>
      </c>
      <c r="O664" t="s">
        <v>1045</v>
      </c>
    </row>
    <row r="665" spans="1:15" x14ac:dyDescent="0.25">
      <c r="A665">
        <v>914</v>
      </c>
      <c r="B665" s="6">
        <v>45210</v>
      </c>
      <c r="C665" s="5" t="s">
        <v>686</v>
      </c>
      <c r="D665" s="5" t="s">
        <v>1</v>
      </c>
      <c r="E665">
        <v>59</v>
      </c>
      <c r="F665" s="5" t="s">
        <v>374</v>
      </c>
      <c r="G665">
        <v>1</v>
      </c>
      <c r="H665" s="11">
        <v>500</v>
      </c>
      <c r="I665" s="11">
        <v>500</v>
      </c>
      <c r="J665" t="s">
        <v>24</v>
      </c>
      <c r="K665" t="s">
        <v>1030</v>
      </c>
      <c r="L665" t="s">
        <v>1038</v>
      </c>
      <c r="M665" t="s">
        <v>1047</v>
      </c>
      <c r="N665">
        <v>10</v>
      </c>
      <c r="O665" t="s">
        <v>1049</v>
      </c>
    </row>
    <row r="666" spans="1:15" x14ac:dyDescent="0.25">
      <c r="A666">
        <v>916</v>
      </c>
      <c r="B666" s="6">
        <v>45284</v>
      </c>
      <c r="C666" s="5" t="s">
        <v>687</v>
      </c>
      <c r="D666" s="5" t="s">
        <v>1</v>
      </c>
      <c r="E666">
        <v>32</v>
      </c>
      <c r="F666" s="5" t="s">
        <v>374</v>
      </c>
      <c r="G666">
        <v>1</v>
      </c>
      <c r="H666" s="11">
        <v>50</v>
      </c>
      <c r="I666" s="11">
        <v>50</v>
      </c>
      <c r="J666" t="s">
        <v>20</v>
      </c>
      <c r="K666" t="s">
        <v>1028</v>
      </c>
      <c r="L666" t="s">
        <v>1038</v>
      </c>
      <c r="M666" t="s">
        <v>1047</v>
      </c>
      <c r="N666">
        <v>12</v>
      </c>
      <c r="O666" t="s">
        <v>1052</v>
      </c>
    </row>
    <row r="667" spans="1:15" x14ac:dyDescent="0.25">
      <c r="A667">
        <v>917</v>
      </c>
      <c r="B667" s="6">
        <v>44991</v>
      </c>
      <c r="C667" s="5" t="s">
        <v>688</v>
      </c>
      <c r="D667" s="5" t="s">
        <v>1</v>
      </c>
      <c r="E667">
        <v>57</v>
      </c>
      <c r="F667" s="5" t="s">
        <v>374</v>
      </c>
      <c r="G667">
        <v>4</v>
      </c>
      <c r="H667" s="11">
        <v>50</v>
      </c>
      <c r="I667" s="11">
        <v>200</v>
      </c>
      <c r="J667" t="s">
        <v>24</v>
      </c>
      <c r="K667" t="s">
        <v>1030</v>
      </c>
      <c r="L667" t="s">
        <v>1038</v>
      </c>
      <c r="M667" t="s">
        <v>1039</v>
      </c>
      <c r="N667">
        <v>3</v>
      </c>
      <c r="O667" t="s">
        <v>1040</v>
      </c>
    </row>
    <row r="668" spans="1:15" x14ac:dyDescent="0.25">
      <c r="A668">
        <v>918</v>
      </c>
      <c r="B668" s="6">
        <v>45253</v>
      </c>
      <c r="C668" s="5" t="s">
        <v>689</v>
      </c>
      <c r="D668" s="5" t="s">
        <v>1</v>
      </c>
      <c r="E668">
        <v>42</v>
      </c>
      <c r="F668" s="5" t="s">
        <v>374</v>
      </c>
      <c r="G668">
        <v>3</v>
      </c>
      <c r="H668" s="11">
        <v>30</v>
      </c>
      <c r="I668" s="11">
        <v>90</v>
      </c>
      <c r="J668" t="s">
        <v>20</v>
      </c>
      <c r="K668" t="s">
        <v>1028</v>
      </c>
      <c r="L668" t="s">
        <v>1038</v>
      </c>
      <c r="M668" t="s">
        <v>1047</v>
      </c>
      <c r="N668">
        <v>11</v>
      </c>
      <c r="O668" t="s">
        <v>1048</v>
      </c>
    </row>
    <row r="669" spans="1:15" x14ac:dyDescent="0.25">
      <c r="A669">
        <v>921</v>
      </c>
      <c r="B669" s="6">
        <v>44933</v>
      </c>
      <c r="C669" s="5" t="s">
        <v>690</v>
      </c>
      <c r="D669" s="5" t="s">
        <v>2</v>
      </c>
      <c r="E669">
        <v>51</v>
      </c>
      <c r="F669" s="5" t="s">
        <v>374</v>
      </c>
      <c r="G669">
        <v>3</v>
      </c>
      <c r="H669" s="11">
        <v>25</v>
      </c>
      <c r="I669" s="11">
        <v>75</v>
      </c>
      <c r="J669" t="s">
        <v>20</v>
      </c>
      <c r="K669" t="s">
        <v>1028</v>
      </c>
      <c r="L669" t="s">
        <v>1038</v>
      </c>
      <c r="M669" t="s">
        <v>1039</v>
      </c>
      <c r="N669">
        <v>1</v>
      </c>
      <c r="O669" t="s">
        <v>1045</v>
      </c>
    </row>
    <row r="670" spans="1:15" x14ac:dyDescent="0.25">
      <c r="A670">
        <v>922</v>
      </c>
      <c r="B670" s="6">
        <v>45220</v>
      </c>
      <c r="C670" s="5" t="s">
        <v>691</v>
      </c>
      <c r="D670" s="5" t="s">
        <v>2</v>
      </c>
      <c r="E670">
        <v>41</v>
      </c>
      <c r="F670" s="5" t="s">
        <v>374</v>
      </c>
      <c r="G670">
        <v>1</v>
      </c>
      <c r="H670" s="11">
        <v>50</v>
      </c>
      <c r="I670" s="11">
        <v>50</v>
      </c>
      <c r="J670" t="s">
        <v>20</v>
      </c>
      <c r="K670" t="s">
        <v>1028</v>
      </c>
      <c r="L670" t="s">
        <v>1038</v>
      </c>
      <c r="M670" t="s">
        <v>1047</v>
      </c>
      <c r="N670">
        <v>10</v>
      </c>
      <c r="O670" t="s">
        <v>1049</v>
      </c>
    </row>
    <row r="671" spans="1:15" x14ac:dyDescent="0.25">
      <c r="A671">
        <v>925</v>
      </c>
      <c r="B671" s="6">
        <v>45172</v>
      </c>
      <c r="C671" s="5" t="s">
        <v>692</v>
      </c>
      <c r="D671" s="5" t="s">
        <v>2</v>
      </c>
      <c r="E671">
        <v>25</v>
      </c>
      <c r="F671" s="5" t="s">
        <v>374</v>
      </c>
      <c r="G671">
        <v>1</v>
      </c>
      <c r="H671" s="11">
        <v>300</v>
      </c>
      <c r="I671" s="11">
        <v>300</v>
      </c>
      <c r="J671" t="s">
        <v>22</v>
      </c>
      <c r="K671" t="s">
        <v>1029</v>
      </c>
      <c r="L671" t="s">
        <v>1038</v>
      </c>
      <c r="M671" t="s">
        <v>1033</v>
      </c>
      <c r="N671">
        <v>9</v>
      </c>
      <c r="O671" t="s">
        <v>1043</v>
      </c>
    </row>
    <row r="672" spans="1:15" x14ac:dyDescent="0.25">
      <c r="A672">
        <v>926</v>
      </c>
      <c r="B672" s="6">
        <v>45152</v>
      </c>
      <c r="C672" s="5" t="s">
        <v>693</v>
      </c>
      <c r="D672" s="5" t="s">
        <v>2</v>
      </c>
      <c r="E672">
        <v>22</v>
      </c>
      <c r="F672" s="5" t="s">
        <v>374</v>
      </c>
      <c r="G672">
        <v>1</v>
      </c>
      <c r="H672" s="11">
        <v>30</v>
      </c>
      <c r="I672" s="11">
        <v>30</v>
      </c>
      <c r="J672" t="s">
        <v>22</v>
      </c>
      <c r="K672" t="s">
        <v>1029</v>
      </c>
      <c r="L672" t="s">
        <v>1038</v>
      </c>
      <c r="M672" t="s">
        <v>1033</v>
      </c>
      <c r="N672">
        <v>8</v>
      </c>
      <c r="O672" t="s">
        <v>1051</v>
      </c>
    </row>
    <row r="673" spans="1:15" x14ac:dyDescent="0.25">
      <c r="A673">
        <v>927</v>
      </c>
      <c r="B673" s="6">
        <v>45101</v>
      </c>
      <c r="C673" s="5" t="s">
        <v>694</v>
      </c>
      <c r="D673" s="5" t="s">
        <v>2</v>
      </c>
      <c r="E673">
        <v>43</v>
      </c>
      <c r="F673" s="5" t="s">
        <v>374</v>
      </c>
      <c r="G673">
        <v>4</v>
      </c>
      <c r="H673" s="11">
        <v>500</v>
      </c>
      <c r="I673" s="11">
        <v>2000</v>
      </c>
      <c r="J673" t="s">
        <v>20</v>
      </c>
      <c r="K673" t="s">
        <v>1028</v>
      </c>
      <c r="L673" t="s">
        <v>1038</v>
      </c>
      <c r="M673" t="s">
        <v>1041</v>
      </c>
      <c r="N673">
        <v>6</v>
      </c>
      <c r="O673" t="s">
        <v>1050</v>
      </c>
    </row>
    <row r="674" spans="1:15" x14ac:dyDescent="0.25">
      <c r="A674">
        <v>939</v>
      </c>
      <c r="B674" s="6">
        <v>45278</v>
      </c>
      <c r="C674" s="5" t="s">
        <v>695</v>
      </c>
      <c r="D674" s="5" t="s">
        <v>1</v>
      </c>
      <c r="E674">
        <v>46</v>
      </c>
      <c r="F674" s="5" t="s">
        <v>374</v>
      </c>
      <c r="G674">
        <v>1</v>
      </c>
      <c r="H674" s="11">
        <v>300</v>
      </c>
      <c r="I674" s="11">
        <v>300</v>
      </c>
      <c r="J674" t="s">
        <v>20</v>
      </c>
      <c r="K674" t="s">
        <v>1028</v>
      </c>
      <c r="L674" t="s">
        <v>1038</v>
      </c>
      <c r="M674" t="s">
        <v>1047</v>
      </c>
      <c r="N674">
        <v>12</v>
      </c>
      <c r="O674" t="s">
        <v>1052</v>
      </c>
    </row>
    <row r="675" spans="1:15" x14ac:dyDescent="0.25">
      <c r="A675">
        <v>940</v>
      </c>
      <c r="B675" s="6">
        <v>44954</v>
      </c>
      <c r="C675" s="5" t="s">
        <v>696</v>
      </c>
      <c r="D675" s="5" t="s">
        <v>1</v>
      </c>
      <c r="E675">
        <v>20</v>
      </c>
      <c r="F675" s="5" t="s">
        <v>374</v>
      </c>
      <c r="G675">
        <v>1</v>
      </c>
      <c r="H675" s="11">
        <v>30</v>
      </c>
      <c r="I675" s="11">
        <v>30</v>
      </c>
      <c r="J675" t="s">
        <v>22</v>
      </c>
      <c r="K675" t="s">
        <v>1029</v>
      </c>
      <c r="L675" t="s">
        <v>1038</v>
      </c>
      <c r="M675" t="s">
        <v>1039</v>
      </c>
      <c r="N675">
        <v>1</v>
      </c>
      <c r="O675" t="s">
        <v>1045</v>
      </c>
    </row>
    <row r="676" spans="1:15" x14ac:dyDescent="0.25">
      <c r="A676">
        <v>946</v>
      </c>
      <c r="B676" s="6">
        <v>45054</v>
      </c>
      <c r="C676" s="5" t="s">
        <v>697</v>
      </c>
      <c r="D676" s="5" t="s">
        <v>2</v>
      </c>
      <c r="E676">
        <v>62</v>
      </c>
      <c r="F676" s="5" t="s">
        <v>374</v>
      </c>
      <c r="G676">
        <v>4</v>
      </c>
      <c r="H676" s="11">
        <v>500</v>
      </c>
      <c r="I676" s="11">
        <v>2000</v>
      </c>
      <c r="J676" t="s">
        <v>24</v>
      </c>
      <c r="K676" t="s">
        <v>1030</v>
      </c>
      <c r="L676" t="s">
        <v>1038</v>
      </c>
      <c r="M676" t="s">
        <v>1041</v>
      </c>
      <c r="N676">
        <v>5</v>
      </c>
      <c r="O676" t="s">
        <v>1032</v>
      </c>
    </row>
    <row r="677" spans="1:15" x14ac:dyDescent="0.25">
      <c r="A677">
        <v>948</v>
      </c>
      <c r="B677" s="6">
        <v>45212</v>
      </c>
      <c r="C677" s="5" t="s">
        <v>698</v>
      </c>
      <c r="D677" s="5" t="s">
        <v>1</v>
      </c>
      <c r="E677">
        <v>23</v>
      </c>
      <c r="F677" s="5" t="s">
        <v>374</v>
      </c>
      <c r="G677">
        <v>3</v>
      </c>
      <c r="H677" s="11">
        <v>25</v>
      </c>
      <c r="I677" s="11">
        <v>75</v>
      </c>
      <c r="J677" t="s">
        <v>22</v>
      </c>
      <c r="K677" t="s">
        <v>1029</v>
      </c>
      <c r="L677" t="s">
        <v>1038</v>
      </c>
      <c r="M677" t="s">
        <v>1047</v>
      </c>
      <c r="N677">
        <v>10</v>
      </c>
      <c r="O677" t="s">
        <v>1049</v>
      </c>
    </row>
    <row r="678" spans="1:15" x14ac:dyDescent="0.25">
      <c r="A678">
        <v>949</v>
      </c>
      <c r="B678" s="6">
        <v>45140</v>
      </c>
      <c r="C678" s="5" t="s">
        <v>699</v>
      </c>
      <c r="D678" s="5" t="s">
        <v>1</v>
      </c>
      <c r="E678">
        <v>41</v>
      </c>
      <c r="F678" s="5" t="s">
        <v>374</v>
      </c>
      <c r="G678">
        <v>2</v>
      </c>
      <c r="H678" s="11">
        <v>25</v>
      </c>
      <c r="I678" s="11">
        <v>50</v>
      </c>
      <c r="J678" t="s">
        <v>20</v>
      </c>
      <c r="K678" t="s">
        <v>1028</v>
      </c>
      <c r="L678" t="s">
        <v>1038</v>
      </c>
      <c r="M678" t="s">
        <v>1033</v>
      </c>
      <c r="N678">
        <v>8</v>
      </c>
      <c r="O678" t="s">
        <v>1051</v>
      </c>
    </row>
    <row r="679" spans="1:15" x14ac:dyDescent="0.25">
      <c r="A679">
        <v>954</v>
      </c>
      <c r="B679" s="6">
        <v>45194</v>
      </c>
      <c r="C679" s="5" t="s">
        <v>700</v>
      </c>
      <c r="D679" s="5" t="s">
        <v>1</v>
      </c>
      <c r="E679">
        <v>50</v>
      </c>
      <c r="F679" s="5" t="s">
        <v>374</v>
      </c>
      <c r="G679">
        <v>3</v>
      </c>
      <c r="H679" s="11">
        <v>300</v>
      </c>
      <c r="I679" s="11">
        <v>900</v>
      </c>
      <c r="J679" t="s">
        <v>20</v>
      </c>
      <c r="K679" t="s">
        <v>1028</v>
      </c>
      <c r="L679" t="s">
        <v>1038</v>
      </c>
      <c r="M679" t="s">
        <v>1033</v>
      </c>
      <c r="N679">
        <v>9</v>
      </c>
      <c r="O679" t="s">
        <v>1043</v>
      </c>
    </row>
    <row r="680" spans="1:15" x14ac:dyDescent="0.25">
      <c r="A680">
        <v>957</v>
      </c>
      <c r="B680" s="6">
        <v>45153</v>
      </c>
      <c r="C680" s="5" t="s">
        <v>701</v>
      </c>
      <c r="D680" s="5" t="s">
        <v>1</v>
      </c>
      <c r="E680">
        <v>60</v>
      </c>
      <c r="F680" s="5" t="s">
        <v>374</v>
      </c>
      <c r="G680">
        <v>4</v>
      </c>
      <c r="H680" s="11">
        <v>30</v>
      </c>
      <c r="I680" s="11">
        <v>120</v>
      </c>
      <c r="J680" t="s">
        <v>24</v>
      </c>
      <c r="K680" t="s">
        <v>1030</v>
      </c>
      <c r="L680" t="s">
        <v>1038</v>
      </c>
      <c r="M680" t="s">
        <v>1033</v>
      </c>
      <c r="N680">
        <v>8</v>
      </c>
      <c r="O680" t="s">
        <v>1051</v>
      </c>
    </row>
    <row r="681" spans="1:15" x14ac:dyDescent="0.25">
      <c r="A681">
        <v>958</v>
      </c>
      <c r="B681" s="6">
        <v>45079</v>
      </c>
      <c r="C681" s="5" t="s">
        <v>702</v>
      </c>
      <c r="D681" s="5" t="s">
        <v>2</v>
      </c>
      <c r="E681">
        <v>62</v>
      </c>
      <c r="F681" s="5" t="s">
        <v>374</v>
      </c>
      <c r="G681">
        <v>2</v>
      </c>
      <c r="H681" s="11">
        <v>25</v>
      </c>
      <c r="I681" s="11">
        <v>50</v>
      </c>
      <c r="J681" t="s">
        <v>24</v>
      </c>
      <c r="K681" t="s">
        <v>1030</v>
      </c>
      <c r="L681" t="s">
        <v>1038</v>
      </c>
      <c r="M681" t="s">
        <v>1041</v>
      </c>
      <c r="N681">
        <v>6</v>
      </c>
      <c r="O681" t="s">
        <v>1050</v>
      </c>
    </row>
    <row r="682" spans="1:15" x14ac:dyDescent="0.25">
      <c r="A682">
        <v>959</v>
      </c>
      <c r="B682" s="6">
        <v>45228</v>
      </c>
      <c r="C682" s="5" t="s">
        <v>703</v>
      </c>
      <c r="D682" s="5" t="s">
        <v>1</v>
      </c>
      <c r="E682">
        <v>42</v>
      </c>
      <c r="F682" s="5" t="s">
        <v>374</v>
      </c>
      <c r="G682">
        <v>2</v>
      </c>
      <c r="H682" s="11">
        <v>30</v>
      </c>
      <c r="I682" s="11">
        <v>60</v>
      </c>
      <c r="J682" t="s">
        <v>20</v>
      </c>
      <c r="K682" t="s">
        <v>1028</v>
      </c>
      <c r="L682" t="s">
        <v>1038</v>
      </c>
      <c r="M682" t="s">
        <v>1047</v>
      </c>
      <c r="N682">
        <v>10</v>
      </c>
      <c r="O682" t="s">
        <v>1049</v>
      </c>
    </row>
    <row r="683" spans="1:15" x14ac:dyDescent="0.25">
      <c r="A683">
        <v>966</v>
      </c>
      <c r="B683" s="6">
        <v>44977</v>
      </c>
      <c r="C683" s="5" t="s">
        <v>704</v>
      </c>
      <c r="D683" s="5" t="s">
        <v>2</v>
      </c>
      <c r="E683">
        <v>60</v>
      </c>
      <c r="F683" s="5" t="s">
        <v>374</v>
      </c>
      <c r="G683">
        <v>2</v>
      </c>
      <c r="H683" s="11">
        <v>500</v>
      </c>
      <c r="I683" s="11">
        <v>1000</v>
      </c>
      <c r="J683" t="s">
        <v>24</v>
      </c>
      <c r="K683" t="s">
        <v>1030</v>
      </c>
      <c r="L683" t="s">
        <v>1038</v>
      </c>
      <c r="M683" t="s">
        <v>1039</v>
      </c>
      <c r="N683">
        <v>2</v>
      </c>
      <c r="O683" t="s">
        <v>1044</v>
      </c>
    </row>
    <row r="684" spans="1:15" x14ac:dyDescent="0.25">
      <c r="A684">
        <v>970</v>
      </c>
      <c r="B684" s="6">
        <v>45062</v>
      </c>
      <c r="C684" s="5" t="s">
        <v>705</v>
      </c>
      <c r="D684" s="5" t="s">
        <v>2</v>
      </c>
      <c r="E684">
        <v>59</v>
      </c>
      <c r="F684" s="5" t="s">
        <v>374</v>
      </c>
      <c r="G684">
        <v>4</v>
      </c>
      <c r="H684" s="11">
        <v>500</v>
      </c>
      <c r="I684" s="11">
        <v>2000</v>
      </c>
      <c r="J684" t="s">
        <v>24</v>
      </c>
      <c r="K684" t="s">
        <v>1030</v>
      </c>
      <c r="L684" t="s">
        <v>1038</v>
      </c>
      <c r="M684" t="s">
        <v>1041</v>
      </c>
      <c r="N684">
        <v>5</v>
      </c>
      <c r="O684" t="s">
        <v>1032</v>
      </c>
    </row>
    <row r="685" spans="1:15" x14ac:dyDescent="0.25">
      <c r="A685">
        <v>971</v>
      </c>
      <c r="B685" s="6">
        <v>45265</v>
      </c>
      <c r="C685" s="5" t="s">
        <v>706</v>
      </c>
      <c r="D685" s="5" t="s">
        <v>1</v>
      </c>
      <c r="E685">
        <v>27</v>
      </c>
      <c r="F685" s="5" t="s">
        <v>374</v>
      </c>
      <c r="G685">
        <v>4</v>
      </c>
      <c r="H685" s="11">
        <v>50</v>
      </c>
      <c r="I685" s="11">
        <v>200</v>
      </c>
      <c r="J685" t="s">
        <v>22</v>
      </c>
      <c r="K685" t="s">
        <v>1029</v>
      </c>
      <c r="L685" t="s">
        <v>1038</v>
      </c>
      <c r="M685" t="s">
        <v>1047</v>
      </c>
      <c r="N685">
        <v>12</v>
      </c>
      <c r="O685" t="s">
        <v>1052</v>
      </c>
    </row>
    <row r="686" spans="1:15" x14ac:dyDescent="0.25">
      <c r="A686">
        <v>977</v>
      </c>
      <c r="B686" s="6">
        <v>44965</v>
      </c>
      <c r="C686" s="5" t="s">
        <v>707</v>
      </c>
      <c r="D686" s="5" t="s">
        <v>1</v>
      </c>
      <c r="E686">
        <v>35</v>
      </c>
      <c r="F686" s="5" t="s">
        <v>374</v>
      </c>
      <c r="G686">
        <v>3</v>
      </c>
      <c r="H686" s="11">
        <v>25</v>
      </c>
      <c r="I686" s="11">
        <v>75</v>
      </c>
      <c r="J686" t="s">
        <v>20</v>
      </c>
      <c r="K686" t="s">
        <v>1028</v>
      </c>
      <c r="L686" t="s">
        <v>1038</v>
      </c>
      <c r="M686" t="s">
        <v>1039</v>
      </c>
      <c r="N686">
        <v>2</v>
      </c>
      <c r="O686" t="s">
        <v>1044</v>
      </c>
    </row>
    <row r="687" spans="1:15" x14ac:dyDescent="0.25">
      <c r="A687">
        <v>980</v>
      </c>
      <c r="B687" s="6">
        <v>45136</v>
      </c>
      <c r="C687" s="5" t="s">
        <v>708</v>
      </c>
      <c r="D687" s="5" t="s">
        <v>1</v>
      </c>
      <c r="E687">
        <v>31</v>
      </c>
      <c r="F687" s="5" t="s">
        <v>374</v>
      </c>
      <c r="G687">
        <v>3</v>
      </c>
      <c r="H687" s="11">
        <v>25</v>
      </c>
      <c r="I687" s="11">
        <v>75</v>
      </c>
      <c r="J687" t="s">
        <v>20</v>
      </c>
      <c r="K687" t="s">
        <v>1028</v>
      </c>
      <c r="L687" t="s">
        <v>1038</v>
      </c>
      <c r="M687" t="s">
        <v>1033</v>
      </c>
      <c r="N687">
        <v>7</v>
      </c>
      <c r="O687" t="s">
        <v>1046</v>
      </c>
    </row>
    <row r="688" spans="1:15" x14ac:dyDescent="0.25">
      <c r="A688">
        <v>981</v>
      </c>
      <c r="B688" s="6">
        <v>45157</v>
      </c>
      <c r="C688" s="5" t="s">
        <v>709</v>
      </c>
      <c r="D688" s="5" t="s">
        <v>1</v>
      </c>
      <c r="E688">
        <v>30</v>
      </c>
      <c r="F688" s="5" t="s">
        <v>374</v>
      </c>
      <c r="G688">
        <v>2</v>
      </c>
      <c r="H688" s="11">
        <v>30</v>
      </c>
      <c r="I688" s="11">
        <v>60</v>
      </c>
      <c r="J688" t="s">
        <v>20</v>
      </c>
      <c r="K688" t="s">
        <v>1028</v>
      </c>
      <c r="L688" t="s">
        <v>1038</v>
      </c>
      <c r="M688" t="s">
        <v>1033</v>
      </c>
      <c r="N688">
        <v>8</v>
      </c>
      <c r="O688" t="s">
        <v>1051</v>
      </c>
    </row>
    <row r="689" spans="1:15" x14ac:dyDescent="0.25">
      <c r="A689">
        <v>985</v>
      </c>
      <c r="B689" s="6">
        <v>45076</v>
      </c>
      <c r="C689" s="5" t="s">
        <v>710</v>
      </c>
      <c r="D689" s="5" t="s">
        <v>1</v>
      </c>
      <c r="E689">
        <v>19</v>
      </c>
      <c r="F689" s="5" t="s">
        <v>374</v>
      </c>
      <c r="G689">
        <v>2</v>
      </c>
      <c r="H689" s="11">
        <v>25</v>
      </c>
      <c r="I689" s="11">
        <v>50</v>
      </c>
      <c r="J689" t="s">
        <v>22</v>
      </c>
      <c r="K689" t="s">
        <v>1029</v>
      </c>
      <c r="L689" t="s">
        <v>1038</v>
      </c>
      <c r="M689" t="s">
        <v>1041</v>
      </c>
      <c r="N689">
        <v>5</v>
      </c>
      <c r="O689" t="s">
        <v>1032</v>
      </c>
    </row>
    <row r="690" spans="1:15" x14ac:dyDescent="0.25">
      <c r="A690">
        <v>989</v>
      </c>
      <c r="B690" s="6">
        <v>45288</v>
      </c>
      <c r="C690" s="5" t="s">
        <v>711</v>
      </c>
      <c r="D690" s="5" t="s">
        <v>1</v>
      </c>
      <c r="E690">
        <v>44</v>
      </c>
      <c r="F690" s="5" t="s">
        <v>374</v>
      </c>
      <c r="G690">
        <v>1</v>
      </c>
      <c r="H690" s="11">
        <v>25</v>
      </c>
      <c r="I690" s="11">
        <v>25</v>
      </c>
      <c r="J690" t="s">
        <v>20</v>
      </c>
      <c r="K690" t="s">
        <v>1028</v>
      </c>
      <c r="L690" t="s">
        <v>1038</v>
      </c>
      <c r="M690" t="s">
        <v>1047</v>
      </c>
      <c r="N690">
        <v>12</v>
      </c>
      <c r="O690" t="s">
        <v>1052</v>
      </c>
    </row>
    <row r="691" spans="1:15" x14ac:dyDescent="0.25">
      <c r="A691">
        <v>992</v>
      </c>
      <c r="B691" s="6">
        <v>45159</v>
      </c>
      <c r="C691" s="5" t="s">
        <v>712</v>
      </c>
      <c r="D691" s="5" t="s">
        <v>1</v>
      </c>
      <c r="E691">
        <v>57</v>
      </c>
      <c r="F691" s="5" t="s">
        <v>374</v>
      </c>
      <c r="G691">
        <v>2</v>
      </c>
      <c r="H691" s="11">
        <v>30</v>
      </c>
      <c r="I691" s="11">
        <v>60</v>
      </c>
      <c r="J691" t="s">
        <v>24</v>
      </c>
      <c r="K691" t="s">
        <v>1030</v>
      </c>
      <c r="L691" t="s">
        <v>1038</v>
      </c>
      <c r="M691" t="s">
        <v>1033</v>
      </c>
      <c r="N691">
        <v>8</v>
      </c>
      <c r="O691" t="s">
        <v>1051</v>
      </c>
    </row>
    <row r="692" spans="1:15" x14ac:dyDescent="0.25">
      <c r="A692">
        <v>993</v>
      </c>
      <c r="B692" s="6">
        <v>44963</v>
      </c>
      <c r="C692" s="5" t="s">
        <v>713</v>
      </c>
      <c r="D692" s="5" t="s">
        <v>1</v>
      </c>
      <c r="E692">
        <v>48</v>
      </c>
      <c r="F692" s="5" t="s">
        <v>374</v>
      </c>
      <c r="G692">
        <v>3</v>
      </c>
      <c r="H692" s="11">
        <v>50</v>
      </c>
      <c r="I692" s="11">
        <v>150</v>
      </c>
      <c r="J692" t="s">
        <v>20</v>
      </c>
      <c r="K692" t="s">
        <v>1028</v>
      </c>
      <c r="L692" t="s">
        <v>1038</v>
      </c>
      <c r="M692" t="s">
        <v>1039</v>
      </c>
      <c r="N692">
        <v>2</v>
      </c>
      <c r="O692" t="s">
        <v>1044</v>
      </c>
    </row>
    <row r="693" spans="1:15" x14ac:dyDescent="0.25">
      <c r="A693">
        <v>999</v>
      </c>
      <c r="B693" s="6">
        <v>45265</v>
      </c>
      <c r="C693" s="5" t="s">
        <v>714</v>
      </c>
      <c r="D693" s="5" t="s">
        <v>1</v>
      </c>
      <c r="E693">
        <v>36</v>
      </c>
      <c r="F693" s="5" t="s">
        <v>374</v>
      </c>
      <c r="G693">
        <v>3</v>
      </c>
      <c r="H693" s="11">
        <v>50</v>
      </c>
      <c r="I693" s="11">
        <v>150</v>
      </c>
      <c r="J693" t="s">
        <v>20</v>
      </c>
      <c r="K693" t="s">
        <v>1028</v>
      </c>
      <c r="L693" t="s">
        <v>1038</v>
      </c>
      <c r="M693" t="s">
        <v>1047</v>
      </c>
      <c r="N693">
        <v>12</v>
      </c>
      <c r="O693" t="s">
        <v>1052</v>
      </c>
    </row>
    <row r="694" spans="1:15" x14ac:dyDescent="0.25">
      <c r="A694">
        <v>1000</v>
      </c>
      <c r="B694" s="6">
        <v>45028</v>
      </c>
      <c r="C694" s="5" t="s">
        <v>715</v>
      </c>
      <c r="D694" s="5" t="s">
        <v>2</v>
      </c>
      <c r="E694">
        <v>47</v>
      </c>
      <c r="F694" s="5" t="s">
        <v>374</v>
      </c>
      <c r="G694">
        <v>4</v>
      </c>
      <c r="H694" s="11">
        <v>30</v>
      </c>
      <c r="I694" s="11">
        <v>120</v>
      </c>
      <c r="J694" t="s">
        <v>20</v>
      </c>
      <c r="K694" t="s">
        <v>1028</v>
      </c>
      <c r="L694" t="s">
        <v>1038</v>
      </c>
      <c r="M694" t="s">
        <v>1041</v>
      </c>
      <c r="N694">
        <v>4</v>
      </c>
      <c r="O694" t="s">
        <v>1042</v>
      </c>
    </row>
    <row r="695" spans="1:15" x14ac:dyDescent="0.25">
      <c r="A695">
        <v>6</v>
      </c>
      <c r="B695" s="6">
        <v>45041</v>
      </c>
      <c r="C695" s="5" t="s">
        <v>716</v>
      </c>
      <c r="D695" s="5" t="s">
        <v>1</v>
      </c>
      <c r="E695">
        <v>45</v>
      </c>
      <c r="F695" s="5" t="s">
        <v>717</v>
      </c>
      <c r="G695">
        <v>1</v>
      </c>
      <c r="H695" s="11">
        <v>30</v>
      </c>
      <c r="I695" s="11">
        <v>30</v>
      </c>
      <c r="J695" t="s">
        <v>20</v>
      </c>
      <c r="K695" t="s">
        <v>1028</v>
      </c>
      <c r="L695" t="s">
        <v>1038</v>
      </c>
      <c r="M695" t="s">
        <v>1041</v>
      </c>
      <c r="N695">
        <v>4</v>
      </c>
      <c r="O695" t="s">
        <v>1042</v>
      </c>
    </row>
    <row r="696" spans="1:15" x14ac:dyDescent="0.25">
      <c r="A696">
        <v>12</v>
      </c>
      <c r="B696" s="6">
        <v>45229</v>
      </c>
      <c r="C696" s="5" t="s">
        <v>718</v>
      </c>
      <c r="D696" s="5" t="s">
        <v>2</v>
      </c>
      <c r="E696">
        <v>35</v>
      </c>
      <c r="F696" s="5" t="s">
        <v>717</v>
      </c>
      <c r="G696">
        <v>3</v>
      </c>
      <c r="H696" s="11">
        <v>25</v>
      </c>
      <c r="I696" s="11">
        <v>75</v>
      </c>
      <c r="J696" t="s">
        <v>20</v>
      </c>
      <c r="K696" t="s">
        <v>1028</v>
      </c>
      <c r="L696" t="s">
        <v>1038</v>
      </c>
      <c r="M696" t="s">
        <v>1047</v>
      </c>
      <c r="N696">
        <v>10</v>
      </c>
      <c r="O696" t="s">
        <v>1049</v>
      </c>
    </row>
    <row r="697" spans="1:15" x14ac:dyDescent="0.25">
      <c r="A697">
        <v>27</v>
      </c>
      <c r="B697" s="6">
        <v>45141</v>
      </c>
      <c r="C697" s="5" t="s">
        <v>719</v>
      </c>
      <c r="D697" s="5" t="s">
        <v>1</v>
      </c>
      <c r="E697">
        <v>38</v>
      </c>
      <c r="F697" s="5" t="s">
        <v>717</v>
      </c>
      <c r="G697">
        <v>2</v>
      </c>
      <c r="H697" s="11">
        <v>25</v>
      </c>
      <c r="I697" s="11">
        <v>50</v>
      </c>
      <c r="J697" t="s">
        <v>20</v>
      </c>
      <c r="K697" t="s">
        <v>1028</v>
      </c>
      <c r="L697" t="s">
        <v>1038</v>
      </c>
      <c r="M697" t="s">
        <v>1033</v>
      </c>
      <c r="N697">
        <v>8</v>
      </c>
      <c r="O697" t="s">
        <v>1051</v>
      </c>
    </row>
    <row r="698" spans="1:15" x14ac:dyDescent="0.25">
      <c r="A698">
        <v>30</v>
      </c>
      <c r="B698" s="6">
        <v>45228</v>
      </c>
      <c r="C698" s="5" t="s">
        <v>720</v>
      </c>
      <c r="D698" s="5" t="s">
        <v>1</v>
      </c>
      <c r="E698">
        <v>39</v>
      </c>
      <c r="F698" s="5" t="s">
        <v>717</v>
      </c>
      <c r="G698">
        <v>3</v>
      </c>
      <c r="H698" s="11">
        <v>300</v>
      </c>
      <c r="I698" s="11">
        <v>900</v>
      </c>
      <c r="J698" t="s">
        <v>20</v>
      </c>
      <c r="K698" t="s">
        <v>1028</v>
      </c>
      <c r="L698" t="s">
        <v>1038</v>
      </c>
      <c r="M698" t="s">
        <v>1047</v>
      </c>
      <c r="N698">
        <v>10</v>
      </c>
      <c r="O698" t="s">
        <v>1049</v>
      </c>
    </row>
    <row r="699" spans="1:15" x14ac:dyDescent="0.25">
      <c r="A699">
        <v>32</v>
      </c>
      <c r="B699" s="6">
        <v>44930</v>
      </c>
      <c r="C699" s="5" t="s">
        <v>721</v>
      </c>
      <c r="D699" s="5" t="s">
        <v>2</v>
      </c>
      <c r="E699">
        <v>30</v>
      </c>
      <c r="F699" s="5" t="s">
        <v>717</v>
      </c>
      <c r="G699">
        <v>3</v>
      </c>
      <c r="H699" s="11">
        <v>30</v>
      </c>
      <c r="I699" s="11">
        <v>90</v>
      </c>
      <c r="J699" t="s">
        <v>20</v>
      </c>
      <c r="K699" t="s">
        <v>1028</v>
      </c>
      <c r="L699" t="s">
        <v>1038</v>
      </c>
      <c r="M699" t="s">
        <v>1039</v>
      </c>
      <c r="N699">
        <v>1</v>
      </c>
      <c r="O699" t="s">
        <v>1045</v>
      </c>
    </row>
    <row r="700" spans="1:15" x14ac:dyDescent="0.25">
      <c r="A700">
        <v>35</v>
      </c>
      <c r="B700" s="6">
        <v>45143</v>
      </c>
      <c r="C700" s="5" t="s">
        <v>722</v>
      </c>
      <c r="D700" s="5" t="s">
        <v>1</v>
      </c>
      <c r="E700">
        <v>58</v>
      </c>
      <c r="F700" s="5" t="s">
        <v>717</v>
      </c>
      <c r="G700">
        <v>3</v>
      </c>
      <c r="H700" s="11">
        <v>300</v>
      </c>
      <c r="I700" s="11">
        <v>900</v>
      </c>
      <c r="J700" t="s">
        <v>24</v>
      </c>
      <c r="K700" t="s">
        <v>1030</v>
      </c>
      <c r="L700" t="s">
        <v>1038</v>
      </c>
      <c r="M700" t="s">
        <v>1033</v>
      </c>
      <c r="N700">
        <v>8</v>
      </c>
      <c r="O700" t="s">
        <v>1051</v>
      </c>
    </row>
    <row r="701" spans="1:15" x14ac:dyDescent="0.25">
      <c r="A701">
        <v>36</v>
      </c>
      <c r="B701" s="6">
        <v>45101</v>
      </c>
      <c r="C701" s="5" t="s">
        <v>723</v>
      </c>
      <c r="D701" s="5" t="s">
        <v>2</v>
      </c>
      <c r="E701">
        <v>52</v>
      </c>
      <c r="F701" s="5" t="s">
        <v>717</v>
      </c>
      <c r="G701">
        <v>3</v>
      </c>
      <c r="H701" s="11">
        <v>300</v>
      </c>
      <c r="I701" s="11">
        <v>900</v>
      </c>
      <c r="J701" t="s">
        <v>20</v>
      </c>
      <c r="K701" t="s">
        <v>1028</v>
      </c>
      <c r="L701" t="s">
        <v>1038</v>
      </c>
      <c r="M701" t="s">
        <v>1041</v>
      </c>
      <c r="N701">
        <v>6</v>
      </c>
      <c r="O701" t="s">
        <v>1050</v>
      </c>
    </row>
    <row r="702" spans="1:15" x14ac:dyDescent="0.25">
      <c r="A702">
        <v>37</v>
      </c>
      <c r="B702" s="6">
        <v>45069</v>
      </c>
      <c r="C702" s="5" t="s">
        <v>724</v>
      </c>
      <c r="D702" s="5" t="s">
        <v>1</v>
      </c>
      <c r="E702">
        <v>18</v>
      </c>
      <c r="F702" s="5" t="s">
        <v>717</v>
      </c>
      <c r="G702">
        <v>3</v>
      </c>
      <c r="H702" s="11">
        <v>25</v>
      </c>
      <c r="I702" s="11">
        <v>75</v>
      </c>
      <c r="J702" t="s">
        <v>22</v>
      </c>
      <c r="K702" t="s">
        <v>1029</v>
      </c>
      <c r="L702" t="s">
        <v>1038</v>
      </c>
      <c r="M702" t="s">
        <v>1041</v>
      </c>
      <c r="N702">
        <v>5</v>
      </c>
      <c r="O702" t="s">
        <v>1032</v>
      </c>
    </row>
    <row r="703" spans="1:15" x14ac:dyDescent="0.25">
      <c r="A703">
        <v>50</v>
      </c>
      <c r="B703" s="6">
        <v>45162</v>
      </c>
      <c r="C703" s="5" t="s">
        <v>725</v>
      </c>
      <c r="D703" s="5" t="s">
        <v>1</v>
      </c>
      <c r="E703">
        <v>27</v>
      </c>
      <c r="F703" s="5" t="s">
        <v>717</v>
      </c>
      <c r="G703">
        <v>3</v>
      </c>
      <c r="H703" s="11">
        <v>25</v>
      </c>
      <c r="I703" s="11">
        <v>75</v>
      </c>
      <c r="J703" t="s">
        <v>22</v>
      </c>
      <c r="K703" t="s">
        <v>1029</v>
      </c>
      <c r="L703" t="s">
        <v>1038</v>
      </c>
      <c r="M703" t="s">
        <v>1033</v>
      </c>
      <c r="N703">
        <v>8</v>
      </c>
      <c r="O703" t="s">
        <v>1051</v>
      </c>
    </row>
    <row r="704" spans="1:15" x14ac:dyDescent="0.25">
      <c r="A704">
        <v>51</v>
      </c>
      <c r="B704" s="6">
        <v>45201</v>
      </c>
      <c r="C704" s="5" t="s">
        <v>726</v>
      </c>
      <c r="D704" s="5" t="s">
        <v>2</v>
      </c>
      <c r="E704">
        <v>27</v>
      </c>
      <c r="F704" s="5" t="s">
        <v>717</v>
      </c>
      <c r="G704">
        <v>3</v>
      </c>
      <c r="H704" s="11">
        <v>25</v>
      </c>
      <c r="I704" s="11">
        <v>75</v>
      </c>
      <c r="J704" t="s">
        <v>22</v>
      </c>
      <c r="K704" t="s">
        <v>1029</v>
      </c>
      <c r="L704" t="s">
        <v>1038</v>
      </c>
      <c r="M704" t="s">
        <v>1047</v>
      </c>
      <c r="N704">
        <v>10</v>
      </c>
      <c r="O704" t="s">
        <v>1049</v>
      </c>
    </row>
    <row r="705" spans="1:15" x14ac:dyDescent="0.25">
      <c r="A705">
        <v>52</v>
      </c>
      <c r="B705" s="6">
        <v>44990</v>
      </c>
      <c r="C705" s="5" t="s">
        <v>727</v>
      </c>
      <c r="D705" s="5" t="s">
        <v>1</v>
      </c>
      <c r="E705">
        <v>36</v>
      </c>
      <c r="F705" s="5" t="s">
        <v>717</v>
      </c>
      <c r="G705">
        <v>1</v>
      </c>
      <c r="H705" s="11">
        <v>300</v>
      </c>
      <c r="I705" s="11">
        <v>300</v>
      </c>
      <c r="J705" t="s">
        <v>20</v>
      </c>
      <c r="K705" t="s">
        <v>1028</v>
      </c>
      <c r="L705" t="s">
        <v>1038</v>
      </c>
      <c r="M705" t="s">
        <v>1039</v>
      </c>
      <c r="N705">
        <v>3</v>
      </c>
      <c r="O705" t="s">
        <v>1040</v>
      </c>
    </row>
    <row r="706" spans="1:15" x14ac:dyDescent="0.25">
      <c r="A706">
        <v>55</v>
      </c>
      <c r="B706" s="6">
        <v>45209</v>
      </c>
      <c r="C706" s="5" t="s">
        <v>728</v>
      </c>
      <c r="D706" s="5" t="s">
        <v>2</v>
      </c>
      <c r="E706">
        <v>31</v>
      </c>
      <c r="F706" s="5" t="s">
        <v>717</v>
      </c>
      <c r="G706">
        <v>4</v>
      </c>
      <c r="H706" s="11">
        <v>30</v>
      </c>
      <c r="I706" s="11">
        <v>120</v>
      </c>
      <c r="J706" t="s">
        <v>20</v>
      </c>
      <c r="K706" t="s">
        <v>1028</v>
      </c>
      <c r="L706" t="s">
        <v>1038</v>
      </c>
      <c r="M706" t="s">
        <v>1047</v>
      </c>
      <c r="N706">
        <v>10</v>
      </c>
      <c r="O706" t="s">
        <v>1049</v>
      </c>
    </row>
    <row r="707" spans="1:15" x14ac:dyDescent="0.25">
      <c r="A707">
        <v>57</v>
      </c>
      <c r="B707" s="6">
        <v>45248</v>
      </c>
      <c r="C707" s="5" t="s">
        <v>729</v>
      </c>
      <c r="D707" s="5" t="s">
        <v>1</v>
      </c>
      <c r="E707">
        <v>63</v>
      </c>
      <c r="F707" s="5" t="s">
        <v>717</v>
      </c>
      <c r="G707">
        <v>1</v>
      </c>
      <c r="H707" s="11">
        <v>30</v>
      </c>
      <c r="I707" s="11">
        <v>30</v>
      </c>
      <c r="J707" t="s">
        <v>24</v>
      </c>
      <c r="K707" t="s">
        <v>1030</v>
      </c>
      <c r="L707" t="s">
        <v>1038</v>
      </c>
      <c r="M707" t="s">
        <v>1047</v>
      </c>
      <c r="N707">
        <v>11</v>
      </c>
      <c r="O707" t="s">
        <v>1048</v>
      </c>
    </row>
    <row r="708" spans="1:15" x14ac:dyDescent="0.25">
      <c r="A708">
        <v>67</v>
      </c>
      <c r="B708" s="6">
        <v>45075</v>
      </c>
      <c r="C708" s="5" t="s">
        <v>730</v>
      </c>
      <c r="D708" s="5" t="s">
        <v>1</v>
      </c>
      <c r="E708">
        <v>48</v>
      </c>
      <c r="F708" s="5" t="s">
        <v>717</v>
      </c>
      <c r="G708">
        <v>4</v>
      </c>
      <c r="H708" s="11">
        <v>300</v>
      </c>
      <c r="I708" s="11">
        <v>1200</v>
      </c>
      <c r="J708" t="s">
        <v>20</v>
      </c>
      <c r="K708" t="s">
        <v>1028</v>
      </c>
      <c r="L708" t="s">
        <v>1038</v>
      </c>
      <c r="M708" t="s">
        <v>1041</v>
      </c>
      <c r="N708">
        <v>5</v>
      </c>
      <c r="O708" t="s">
        <v>1032</v>
      </c>
    </row>
    <row r="709" spans="1:15" x14ac:dyDescent="0.25">
      <c r="A709">
        <v>69</v>
      </c>
      <c r="B709" s="6">
        <v>45046</v>
      </c>
      <c r="C709" s="5" t="s">
        <v>731</v>
      </c>
      <c r="D709" s="5" t="s">
        <v>1</v>
      </c>
      <c r="E709">
        <v>56</v>
      </c>
      <c r="F709" s="5" t="s">
        <v>717</v>
      </c>
      <c r="G709">
        <v>3</v>
      </c>
      <c r="H709" s="11">
        <v>25</v>
      </c>
      <c r="I709" s="11">
        <v>75</v>
      </c>
      <c r="J709" t="s">
        <v>24</v>
      </c>
      <c r="K709" t="s">
        <v>1030</v>
      </c>
      <c r="L709" t="s">
        <v>1038</v>
      </c>
      <c r="M709" t="s">
        <v>1041</v>
      </c>
      <c r="N709">
        <v>4</v>
      </c>
      <c r="O709" t="s">
        <v>1042</v>
      </c>
    </row>
    <row r="710" spans="1:15" x14ac:dyDescent="0.25">
      <c r="A710">
        <v>71</v>
      </c>
      <c r="B710" s="6">
        <v>45121</v>
      </c>
      <c r="C710" s="5" t="s">
        <v>732</v>
      </c>
      <c r="D710" s="5" t="s">
        <v>1</v>
      </c>
      <c r="E710">
        <v>51</v>
      </c>
      <c r="F710" s="5" t="s">
        <v>717</v>
      </c>
      <c r="G710">
        <v>4</v>
      </c>
      <c r="H710" s="11">
        <v>25</v>
      </c>
      <c r="I710" s="11">
        <v>100</v>
      </c>
      <c r="J710" t="s">
        <v>20</v>
      </c>
      <c r="K710" t="s">
        <v>1028</v>
      </c>
      <c r="L710" t="s">
        <v>1038</v>
      </c>
      <c r="M710" t="s">
        <v>1033</v>
      </c>
      <c r="N710">
        <v>7</v>
      </c>
      <c r="O710" t="s">
        <v>1046</v>
      </c>
    </row>
    <row r="711" spans="1:15" x14ac:dyDescent="0.25">
      <c r="A711">
        <v>79</v>
      </c>
      <c r="B711" s="6">
        <v>45034</v>
      </c>
      <c r="C711" s="5" t="s">
        <v>733</v>
      </c>
      <c r="D711" s="5" t="s">
        <v>2</v>
      </c>
      <c r="E711">
        <v>34</v>
      </c>
      <c r="F711" s="5" t="s">
        <v>717</v>
      </c>
      <c r="G711">
        <v>1</v>
      </c>
      <c r="H711" s="11">
        <v>300</v>
      </c>
      <c r="I711" s="11">
        <v>300</v>
      </c>
      <c r="J711" t="s">
        <v>20</v>
      </c>
      <c r="K711" t="s">
        <v>1028</v>
      </c>
      <c r="L711" t="s">
        <v>1038</v>
      </c>
      <c r="M711" t="s">
        <v>1041</v>
      </c>
      <c r="N711">
        <v>4</v>
      </c>
      <c r="O711" t="s">
        <v>1042</v>
      </c>
    </row>
    <row r="712" spans="1:15" x14ac:dyDescent="0.25">
      <c r="A712">
        <v>86</v>
      </c>
      <c r="B712" s="6">
        <v>45238</v>
      </c>
      <c r="C712" s="5" t="s">
        <v>734</v>
      </c>
      <c r="D712" s="5" t="s">
        <v>2</v>
      </c>
      <c r="E712">
        <v>19</v>
      </c>
      <c r="F712" s="5" t="s">
        <v>717</v>
      </c>
      <c r="G712">
        <v>3</v>
      </c>
      <c r="H712" s="11">
        <v>30</v>
      </c>
      <c r="I712" s="11">
        <v>90</v>
      </c>
      <c r="J712" t="s">
        <v>22</v>
      </c>
      <c r="K712" t="s">
        <v>1029</v>
      </c>
      <c r="L712" t="s">
        <v>1038</v>
      </c>
      <c r="M712" t="s">
        <v>1047</v>
      </c>
      <c r="N712">
        <v>11</v>
      </c>
      <c r="O712" t="s">
        <v>1048</v>
      </c>
    </row>
    <row r="713" spans="1:15" x14ac:dyDescent="0.25">
      <c r="A713">
        <v>102</v>
      </c>
      <c r="B713" s="6">
        <v>45044</v>
      </c>
      <c r="C713" s="5" t="s">
        <v>735</v>
      </c>
      <c r="D713" s="5" t="s">
        <v>1</v>
      </c>
      <c r="E713">
        <v>47</v>
      </c>
      <c r="F713" s="5" t="s">
        <v>717</v>
      </c>
      <c r="G713">
        <v>2</v>
      </c>
      <c r="H713" s="11">
        <v>25</v>
      </c>
      <c r="I713" s="11">
        <v>50</v>
      </c>
      <c r="J713" t="s">
        <v>20</v>
      </c>
      <c r="K713" t="s">
        <v>1028</v>
      </c>
      <c r="L713" t="s">
        <v>1038</v>
      </c>
      <c r="M713" t="s">
        <v>1041</v>
      </c>
      <c r="N713">
        <v>4</v>
      </c>
      <c r="O713" t="s">
        <v>1042</v>
      </c>
    </row>
    <row r="714" spans="1:15" x14ac:dyDescent="0.25">
      <c r="A714">
        <v>108</v>
      </c>
      <c r="B714" s="6">
        <v>45035</v>
      </c>
      <c r="C714" s="5" t="s">
        <v>736</v>
      </c>
      <c r="D714" s="5" t="s">
        <v>1</v>
      </c>
      <c r="E714">
        <v>27</v>
      </c>
      <c r="F714" s="5" t="s">
        <v>717</v>
      </c>
      <c r="G714">
        <v>3</v>
      </c>
      <c r="H714" s="11">
        <v>25</v>
      </c>
      <c r="I714" s="11">
        <v>75</v>
      </c>
      <c r="J714" t="s">
        <v>22</v>
      </c>
      <c r="K714" t="s">
        <v>1029</v>
      </c>
      <c r="L714" t="s">
        <v>1038</v>
      </c>
      <c r="M714" t="s">
        <v>1041</v>
      </c>
      <c r="N714">
        <v>4</v>
      </c>
      <c r="O714" t="s">
        <v>1042</v>
      </c>
    </row>
    <row r="715" spans="1:15" x14ac:dyDescent="0.25">
      <c r="A715">
        <v>114</v>
      </c>
      <c r="B715" s="6">
        <v>45129</v>
      </c>
      <c r="C715" s="5" t="s">
        <v>737</v>
      </c>
      <c r="D715" s="5" t="s">
        <v>1</v>
      </c>
      <c r="E715">
        <v>22</v>
      </c>
      <c r="F715" s="5" t="s">
        <v>717</v>
      </c>
      <c r="G715">
        <v>4</v>
      </c>
      <c r="H715" s="11">
        <v>25</v>
      </c>
      <c r="I715" s="11">
        <v>100</v>
      </c>
      <c r="J715" t="s">
        <v>22</v>
      </c>
      <c r="K715" t="s">
        <v>1029</v>
      </c>
      <c r="L715" t="s">
        <v>1038</v>
      </c>
      <c r="M715" t="s">
        <v>1033</v>
      </c>
      <c r="N715">
        <v>7</v>
      </c>
      <c r="O715" t="s">
        <v>1046</v>
      </c>
    </row>
    <row r="716" spans="1:15" x14ac:dyDescent="0.25">
      <c r="A716">
        <v>129</v>
      </c>
      <c r="B716" s="6">
        <v>45039</v>
      </c>
      <c r="C716" s="5" t="s">
        <v>738</v>
      </c>
      <c r="D716" s="5" t="s">
        <v>1</v>
      </c>
      <c r="E716">
        <v>21</v>
      </c>
      <c r="F716" s="5" t="s">
        <v>717</v>
      </c>
      <c r="G716">
        <v>2</v>
      </c>
      <c r="H716" s="11">
        <v>300</v>
      </c>
      <c r="I716" s="11">
        <v>600</v>
      </c>
      <c r="J716" t="s">
        <v>22</v>
      </c>
      <c r="K716" t="s">
        <v>1029</v>
      </c>
      <c r="L716" t="s">
        <v>1038</v>
      </c>
      <c r="M716" t="s">
        <v>1041</v>
      </c>
      <c r="N716">
        <v>4</v>
      </c>
      <c r="O716" t="s">
        <v>1042</v>
      </c>
    </row>
    <row r="717" spans="1:15" x14ac:dyDescent="0.25">
      <c r="A717">
        <v>131</v>
      </c>
      <c r="B717" s="6">
        <v>45187</v>
      </c>
      <c r="C717" s="5" t="s">
        <v>739</v>
      </c>
      <c r="D717" s="5" t="s">
        <v>1</v>
      </c>
      <c r="E717">
        <v>21</v>
      </c>
      <c r="F717" s="5" t="s">
        <v>717</v>
      </c>
      <c r="G717">
        <v>2</v>
      </c>
      <c r="H717" s="11">
        <v>300</v>
      </c>
      <c r="I717" s="11">
        <v>600</v>
      </c>
      <c r="J717" t="s">
        <v>22</v>
      </c>
      <c r="K717" t="s">
        <v>1029</v>
      </c>
      <c r="L717" t="s">
        <v>1038</v>
      </c>
      <c r="M717" t="s">
        <v>1033</v>
      </c>
      <c r="N717">
        <v>9</v>
      </c>
      <c r="O717" t="s">
        <v>1043</v>
      </c>
    </row>
    <row r="718" spans="1:15" x14ac:dyDescent="0.25">
      <c r="A718">
        <v>172</v>
      </c>
      <c r="B718" s="6">
        <v>45186</v>
      </c>
      <c r="C718" s="5" t="s">
        <v>740</v>
      </c>
      <c r="D718" s="5" t="s">
        <v>2</v>
      </c>
      <c r="E718">
        <v>32</v>
      </c>
      <c r="F718" s="5" t="s">
        <v>717</v>
      </c>
      <c r="G718">
        <v>2</v>
      </c>
      <c r="H718" s="11">
        <v>25</v>
      </c>
      <c r="I718" s="11">
        <v>50</v>
      </c>
      <c r="J718" t="s">
        <v>20</v>
      </c>
      <c r="K718" t="s">
        <v>1028</v>
      </c>
      <c r="L718" t="s">
        <v>1038</v>
      </c>
      <c r="M718" t="s">
        <v>1033</v>
      </c>
      <c r="N718">
        <v>9</v>
      </c>
      <c r="O718" t="s">
        <v>1043</v>
      </c>
    </row>
    <row r="719" spans="1:15" x14ac:dyDescent="0.25">
      <c r="A719">
        <v>174</v>
      </c>
      <c r="B719" s="6">
        <v>45028</v>
      </c>
      <c r="C719" s="5" t="s">
        <v>741</v>
      </c>
      <c r="D719" s="5" t="s">
        <v>1</v>
      </c>
      <c r="E719">
        <v>39</v>
      </c>
      <c r="F719" s="5" t="s">
        <v>717</v>
      </c>
      <c r="G719">
        <v>1</v>
      </c>
      <c r="H719" s="11">
        <v>300</v>
      </c>
      <c r="I719" s="11">
        <v>300</v>
      </c>
      <c r="J719" t="s">
        <v>20</v>
      </c>
      <c r="K719" t="s">
        <v>1028</v>
      </c>
      <c r="L719" t="s">
        <v>1038</v>
      </c>
      <c r="M719" t="s">
        <v>1041</v>
      </c>
      <c r="N719">
        <v>4</v>
      </c>
      <c r="O719" t="s">
        <v>1042</v>
      </c>
    </row>
    <row r="720" spans="1:15" x14ac:dyDescent="0.25">
      <c r="A720">
        <v>182</v>
      </c>
      <c r="B720" s="6">
        <v>45092</v>
      </c>
      <c r="C720" s="5" t="s">
        <v>742</v>
      </c>
      <c r="D720" s="5" t="s">
        <v>2</v>
      </c>
      <c r="E720">
        <v>62</v>
      </c>
      <c r="F720" s="5" t="s">
        <v>717</v>
      </c>
      <c r="G720">
        <v>4</v>
      </c>
      <c r="H720" s="11">
        <v>30</v>
      </c>
      <c r="I720" s="11">
        <v>120</v>
      </c>
      <c r="J720" t="s">
        <v>24</v>
      </c>
      <c r="K720" t="s">
        <v>1030</v>
      </c>
      <c r="L720" t="s">
        <v>1038</v>
      </c>
      <c r="M720" t="s">
        <v>1041</v>
      </c>
      <c r="N720">
        <v>6</v>
      </c>
      <c r="O720" t="s">
        <v>1050</v>
      </c>
    </row>
    <row r="721" spans="1:15" x14ac:dyDescent="0.25">
      <c r="A721">
        <v>183</v>
      </c>
      <c r="B721" s="6">
        <v>45177</v>
      </c>
      <c r="C721" s="5" t="s">
        <v>743</v>
      </c>
      <c r="D721" s="5" t="s">
        <v>1</v>
      </c>
      <c r="E721">
        <v>43</v>
      </c>
      <c r="F721" s="5" t="s">
        <v>717</v>
      </c>
      <c r="G721">
        <v>3</v>
      </c>
      <c r="H721" s="11">
        <v>300</v>
      </c>
      <c r="I721" s="11">
        <v>900</v>
      </c>
      <c r="J721" t="s">
        <v>20</v>
      </c>
      <c r="K721" t="s">
        <v>1028</v>
      </c>
      <c r="L721" t="s">
        <v>1038</v>
      </c>
      <c r="M721" t="s">
        <v>1033</v>
      </c>
      <c r="N721">
        <v>9</v>
      </c>
      <c r="O721" t="s">
        <v>1043</v>
      </c>
    </row>
    <row r="722" spans="1:15" x14ac:dyDescent="0.25">
      <c r="A722">
        <v>190</v>
      </c>
      <c r="B722" s="6">
        <v>45050</v>
      </c>
      <c r="C722" s="5" t="s">
        <v>744</v>
      </c>
      <c r="D722" s="5" t="s">
        <v>1</v>
      </c>
      <c r="E722">
        <v>60</v>
      </c>
      <c r="F722" s="5" t="s">
        <v>717</v>
      </c>
      <c r="G722">
        <v>3</v>
      </c>
      <c r="H722" s="11">
        <v>30</v>
      </c>
      <c r="I722" s="11">
        <v>90</v>
      </c>
      <c r="J722" t="s">
        <v>24</v>
      </c>
      <c r="K722" t="s">
        <v>1030</v>
      </c>
      <c r="L722" t="s">
        <v>1038</v>
      </c>
      <c r="M722" t="s">
        <v>1041</v>
      </c>
      <c r="N722">
        <v>5</v>
      </c>
      <c r="O722" t="s">
        <v>1032</v>
      </c>
    </row>
    <row r="723" spans="1:15" x14ac:dyDescent="0.25">
      <c r="A723">
        <v>191</v>
      </c>
      <c r="B723" s="6">
        <v>45217</v>
      </c>
      <c r="C723" s="5" t="s">
        <v>745</v>
      </c>
      <c r="D723" s="5" t="s">
        <v>2</v>
      </c>
      <c r="E723">
        <v>64</v>
      </c>
      <c r="F723" s="5" t="s">
        <v>717</v>
      </c>
      <c r="G723">
        <v>1</v>
      </c>
      <c r="H723" s="11">
        <v>25</v>
      </c>
      <c r="I723" s="11">
        <v>25</v>
      </c>
      <c r="J723" t="s">
        <v>24</v>
      </c>
      <c r="K723" t="s">
        <v>1030</v>
      </c>
      <c r="L723" t="s">
        <v>1038</v>
      </c>
      <c r="M723" t="s">
        <v>1047</v>
      </c>
      <c r="N723">
        <v>10</v>
      </c>
      <c r="O723" t="s">
        <v>1049</v>
      </c>
    </row>
    <row r="724" spans="1:15" x14ac:dyDescent="0.25">
      <c r="A724">
        <v>198</v>
      </c>
      <c r="B724" s="6">
        <v>44992</v>
      </c>
      <c r="C724" s="5" t="s">
        <v>746</v>
      </c>
      <c r="D724" s="5" t="s">
        <v>1</v>
      </c>
      <c r="E724">
        <v>54</v>
      </c>
      <c r="F724" s="5" t="s">
        <v>717</v>
      </c>
      <c r="G724">
        <v>3</v>
      </c>
      <c r="H724" s="11">
        <v>300</v>
      </c>
      <c r="I724" s="11">
        <v>900</v>
      </c>
      <c r="J724" t="s">
        <v>20</v>
      </c>
      <c r="K724" t="s">
        <v>1028</v>
      </c>
      <c r="L724" t="s">
        <v>1038</v>
      </c>
      <c r="M724" t="s">
        <v>1039</v>
      </c>
      <c r="N724">
        <v>3</v>
      </c>
      <c r="O724" t="s">
        <v>1040</v>
      </c>
    </row>
    <row r="725" spans="1:15" x14ac:dyDescent="0.25">
      <c r="A725">
        <v>204</v>
      </c>
      <c r="B725" s="6">
        <v>45197</v>
      </c>
      <c r="C725" s="5" t="s">
        <v>747</v>
      </c>
      <c r="D725" s="5" t="s">
        <v>2</v>
      </c>
      <c r="E725">
        <v>39</v>
      </c>
      <c r="F725" s="5" t="s">
        <v>717</v>
      </c>
      <c r="G725">
        <v>1</v>
      </c>
      <c r="H725" s="11">
        <v>25</v>
      </c>
      <c r="I725" s="11">
        <v>25</v>
      </c>
      <c r="J725" t="s">
        <v>20</v>
      </c>
      <c r="K725" t="s">
        <v>1028</v>
      </c>
      <c r="L725" t="s">
        <v>1038</v>
      </c>
      <c r="M725" t="s">
        <v>1033</v>
      </c>
      <c r="N725">
        <v>9</v>
      </c>
      <c r="O725" t="s">
        <v>1043</v>
      </c>
    </row>
    <row r="726" spans="1:15" x14ac:dyDescent="0.25">
      <c r="A726">
        <v>207</v>
      </c>
      <c r="B726" s="6">
        <v>45035</v>
      </c>
      <c r="C726" s="5" t="s">
        <v>748</v>
      </c>
      <c r="D726" s="5" t="s">
        <v>1</v>
      </c>
      <c r="E726">
        <v>42</v>
      </c>
      <c r="F726" s="5" t="s">
        <v>717</v>
      </c>
      <c r="G726">
        <v>2</v>
      </c>
      <c r="H726" s="11">
        <v>25</v>
      </c>
      <c r="I726" s="11">
        <v>50</v>
      </c>
      <c r="J726" t="s">
        <v>20</v>
      </c>
      <c r="K726" t="s">
        <v>1028</v>
      </c>
      <c r="L726" t="s">
        <v>1038</v>
      </c>
      <c r="M726" t="s">
        <v>1041</v>
      </c>
      <c r="N726">
        <v>4</v>
      </c>
      <c r="O726" t="s">
        <v>1042</v>
      </c>
    </row>
    <row r="727" spans="1:15" x14ac:dyDescent="0.25">
      <c r="A727">
        <v>214</v>
      </c>
      <c r="B727" s="6">
        <v>45270</v>
      </c>
      <c r="C727" s="5" t="s">
        <v>749</v>
      </c>
      <c r="D727" s="5" t="s">
        <v>2</v>
      </c>
      <c r="E727">
        <v>20</v>
      </c>
      <c r="F727" s="5" t="s">
        <v>717</v>
      </c>
      <c r="G727">
        <v>2</v>
      </c>
      <c r="H727" s="11">
        <v>30</v>
      </c>
      <c r="I727" s="11">
        <v>60</v>
      </c>
      <c r="J727" t="s">
        <v>22</v>
      </c>
      <c r="K727" t="s">
        <v>1029</v>
      </c>
      <c r="L727" t="s">
        <v>1038</v>
      </c>
      <c r="M727" t="s">
        <v>1047</v>
      </c>
      <c r="N727">
        <v>12</v>
      </c>
      <c r="O727" t="s">
        <v>1052</v>
      </c>
    </row>
    <row r="728" spans="1:15" x14ac:dyDescent="0.25">
      <c r="A728">
        <v>218</v>
      </c>
      <c r="B728" s="6">
        <v>45191</v>
      </c>
      <c r="C728" s="5" t="s">
        <v>750</v>
      </c>
      <c r="D728" s="5" t="s">
        <v>2</v>
      </c>
      <c r="E728">
        <v>64</v>
      </c>
      <c r="F728" s="5" t="s">
        <v>717</v>
      </c>
      <c r="G728">
        <v>3</v>
      </c>
      <c r="H728" s="11">
        <v>30</v>
      </c>
      <c r="I728" s="11">
        <v>90</v>
      </c>
      <c r="J728" t="s">
        <v>24</v>
      </c>
      <c r="K728" t="s">
        <v>1030</v>
      </c>
      <c r="L728" t="s">
        <v>1038</v>
      </c>
      <c r="M728" t="s">
        <v>1033</v>
      </c>
      <c r="N728">
        <v>9</v>
      </c>
      <c r="O728" t="s">
        <v>1043</v>
      </c>
    </row>
    <row r="729" spans="1:15" x14ac:dyDescent="0.25">
      <c r="A729">
        <v>221</v>
      </c>
      <c r="B729" s="6">
        <v>45053</v>
      </c>
      <c r="C729" s="5" t="s">
        <v>751</v>
      </c>
      <c r="D729" s="5" t="s">
        <v>2</v>
      </c>
      <c r="E729">
        <v>39</v>
      </c>
      <c r="F729" s="5" t="s">
        <v>717</v>
      </c>
      <c r="G729">
        <v>2</v>
      </c>
      <c r="H729" s="11">
        <v>300</v>
      </c>
      <c r="I729" s="11">
        <v>600</v>
      </c>
      <c r="J729" t="s">
        <v>20</v>
      </c>
      <c r="K729" t="s">
        <v>1028</v>
      </c>
      <c r="L729" t="s">
        <v>1038</v>
      </c>
      <c r="M729" t="s">
        <v>1041</v>
      </c>
      <c r="N729">
        <v>5</v>
      </c>
      <c r="O729" t="s">
        <v>1032</v>
      </c>
    </row>
    <row r="730" spans="1:15" x14ac:dyDescent="0.25">
      <c r="A730">
        <v>225</v>
      </c>
      <c r="B730" s="6">
        <v>44937</v>
      </c>
      <c r="C730" s="5" t="s">
        <v>752</v>
      </c>
      <c r="D730" s="5" t="s">
        <v>1</v>
      </c>
      <c r="E730">
        <v>57</v>
      </c>
      <c r="F730" s="5" t="s">
        <v>717</v>
      </c>
      <c r="G730">
        <v>4</v>
      </c>
      <c r="H730" s="11">
        <v>25</v>
      </c>
      <c r="I730" s="11">
        <v>100</v>
      </c>
      <c r="J730" t="s">
        <v>24</v>
      </c>
      <c r="K730" t="s">
        <v>1030</v>
      </c>
      <c r="L730" t="s">
        <v>1038</v>
      </c>
      <c r="M730" t="s">
        <v>1039</v>
      </c>
      <c r="N730">
        <v>1</v>
      </c>
      <c r="O730" t="s">
        <v>1045</v>
      </c>
    </row>
    <row r="731" spans="1:15" x14ac:dyDescent="0.25">
      <c r="A731">
        <v>229</v>
      </c>
      <c r="B731" s="6">
        <v>45228</v>
      </c>
      <c r="C731" s="5" t="s">
        <v>753</v>
      </c>
      <c r="D731" s="5" t="s">
        <v>2</v>
      </c>
      <c r="E731">
        <v>58</v>
      </c>
      <c r="F731" s="5" t="s">
        <v>717</v>
      </c>
      <c r="G731">
        <v>3</v>
      </c>
      <c r="H731" s="11">
        <v>30</v>
      </c>
      <c r="I731" s="11">
        <v>90</v>
      </c>
      <c r="J731" t="s">
        <v>24</v>
      </c>
      <c r="K731" t="s">
        <v>1030</v>
      </c>
      <c r="L731" t="s">
        <v>1038</v>
      </c>
      <c r="M731" t="s">
        <v>1047</v>
      </c>
      <c r="N731">
        <v>10</v>
      </c>
      <c r="O731" t="s">
        <v>1049</v>
      </c>
    </row>
    <row r="732" spans="1:15" x14ac:dyDescent="0.25">
      <c r="A732">
        <v>230</v>
      </c>
      <c r="B732" s="6">
        <v>45039</v>
      </c>
      <c r="C732" s="5" t="s">
        <v>754</v>
      </c>
      <c r="D732" s="5" t="s">
        <v>2</v>
      </c>
      <c r="E732">
        <v>54</v>
      </c>
      <c r="F732" s="5" t="s">
        <v>717</v>
      </c>
      <c r="G732">
        <v>1</v>
      </c>
      <c r="H732" s="11">
        <v>25</v>
      </c>
      <c r="I732" s="11">
        <v>25</v>
      </c>
      <c r="J732" t="s">
        <v>20</v>
      </c>
      <c r="K732" t="s">
        <v>1028</v>
      </c>
      <c r="L732" t="s">
        <v>1038</v>
      </c>
      <c r="M732" t="s">
        <v>1041</v>
      </c>
      <c r="N732">
        <v>4</v>
      </c>
      <c r="O732" t="s">
        <v>1042</v>
      </c>
    </row>
    <row r="733" spans="1:15" x14ac:dyDescent="0.25">
      <c r="A733">
        <v>232</v>
      </c>
      <c r="B733" s="6">
        <v>44963</v>
      </c>
      <c r="C733" s="5" t="s">
        <v>755</v>
      </c>
      <c r="D733" s="5" t="s">
        <v>1</v>
      </c>
      <c r="E733">
        <v>43</v>
      </c>
      <c r="F733" s="5" t="s">
        <v>717</v>
      </c>
      <c r="G733">
        <v>1</v>
      </c>
      <c r="H733" s="11">
        <v>25</v>
      </c>
      <c r="I733" s="11">
        <v>25</v>
      </c>
      <c r="J733" t="s">
        <v>20</v>
      </c>
      <c r="K733" t="s">
        <v>1028</v>
      </c>
      <c r="L733" t="s">
        <v>1038</v>
      </c>
      <c r="M733" t="s">
        <v>1039</v>
      </c>
      <c r="N733">
        <v>2</v>
      </c>
      <c r="O733" t="s">
        <v>1044</v>
      </c>
    </row>
    <row r="734" spans="1:15" x14ac:dyDescent="0.25">
      <c r="A734">
        <v>233</v>
      </c>
      <c r="B734" s="6">
        <v>45289</v>
      </c>
      <c r="C734" s="5" t="s">
        <v>756</v>
      </c>
      <c r="D734" s="5" t="s">
        <v>1</v>
      </c>
      <c r="E734">
        <v>51</v>
      </c>
      <c r="F734" s="5" t="s">
        <v>717</v>
      </c>
      <c r="G734">
        <v>2</v>
      </c>
      <c r="H734" s="11">
        <v>300</v>
      </c>
      <c r="I734" s="11">
        <v>600</v>
      </c>
      <c r="J734" t="s">
        <v>20</v>
      </c>
      <c r="K734" t="s">
        <v>1028</v>
      </c>
      <c r="L734" t="s">
        <v>1038</v>
      </c>
      <c r="M734" t="s">
        <v>1047</v>
      </c>
      <c r="N734">
        <v>12</v>
      </c>
      <c r="O734" t="s">
        <v>1052</v>
      </c>
    </row>
    <row r="735" spans="1:15" x14ac:dyDescent="0.25">
      <c r="A735">
        <v>240</v>
      </c>
      <c r="B735" s="6">
        <v>44963</v>
      </c>
      <c r="C735" s="5" t="s">
        <v>757</v>
      </c>
      <c r="D735" s="5" t="s">
        <v>1</v>
      </c>
      <c r="E735">
        <v>23</v>
      </c>
      <c r="F735" s="5" t="s">
        <v>717</v>
      </c>
      <c r="G735">
        <v>1</v>
      </c>
      <c r="H735" s="11">
        <v>300</v>
      </c>
      <c r="I735" s="11">
        <v>300</v>
      </c>
      <c r="J735" t="s">
        <v>22</v>
      </c>
      <c r="K735" t="s">
        <v>1029</v>
      </c>
      <c r="L735" t="s">
        <v>1038</v>
      </c>
      <c r="M735" t="s">
        <v>1039</v>
      </c>
      <c r="N735">
        <v>2</v>
      </c>
      <c r="O735" t="s">
        <v>1044</v>
      </c>
    </row>
    <row r="736" spans="1:15" x14ac:dyDescent="0.25">
      <c r="A736">
        <v>260</v>
      </c>
      <c r="B736" s="6">
        <v>45108</v>
      </c>
      <c r="C736" s="5" t="s">
        <v>758</v>
      </c>
      <c r="D736" s="5" t="s">
        <v>2</v>
      </c>
      <c r="E736">
        <v>28</v>
      </c>
      <c r="F736" s="5" t="s">
        <v>717</v>
      </c>
      <c r="G736">
        <v>2</v>
      </c>
      <c r="H736" s="11">
        <v>30</v>
      </c>
      <c r="I736" s="11">
        <v>60</v>
      </c>
      <c r="J736" t="s">
        <v>22</v>
      </c>
      <c r="K736" t="s">
        <v>1029</v>
      </c>
      <c r="L736" t="s">
        <v>1038</v>
      </c>
      <c r="M736" t="s">
        <v>1033</v>
      </c>
      <c r="N736">
        <v>7</v>
      </c>
      <c r="O736" t="s">
        <v>1046</v>
      </c>
    </row>
    <row r="737" spans="1:15" x14ac:dyDescent="0.25">
      <c r="A737">
        <v>262</v>
      </c>
      <c r="B737" s="6">
        <v>45137</v>
      </c>
      <c r="C737" s="5" t="s">
        <v>759</v>
      </c>
      <c r="D737" s="5" t="s">
        <v>1</v>
      </c>
      <c r="E737">
        <v>32</v>
      </c>
      <c r="F737" s="5" t="s">
        <v>717</v>
      </c>
      <c r="G737">
        <v>4</v>
      </c>
      <c r="H737" s="11">
        <v>30</v>
      </c>
      <c r="I737" s="11">
        <v>120</v>
      </c>
      <c r="J737" t="s">
        <v>20</v>
      </c>
      <c r="K737" t="s">
        <v>1028</v>
      </c>
      <c r="L737" t="s">
        <v>1038</v>
      </c>
      <c r="M737" t="s">
        <v>1033</v>
      </c>
      <c r="N737">
        <v>7</v>
      </c>
      <c r="O737" t="s">
        <v>1046</v>
      </c>
    </row>
    <row r="738" spans="1:15" x14ac:dyDescent="0.25">
      <c r="A738">
        <v>263</v>
      </c>
      <c r="B738" s="6">
        <v>45166</v>
      </c>
      <c r="C738" s="5" t="s">
        <v>760</v>
      </c>
      <c r="D738" s="5" t="s">
        <v>2</v>
      </c>
      <c r="E738">
        <v>23</v>
      </c>
      <c r="F738" s="5" t="s">
        <v>717</v>
      </c>
      <c r="G738">
        <v>2</v>
      </c>
      <c r="H738" s="11">
        <v>30</v>
      </c>
      <c r="I738" s="11">
        <v>60</v>
      </c>
      <c r="J738" t="s">
        <v>22</v>
      </c>
      <c r="K738" t="s">
        <v>1029</v>
      </c>
      <c r="L738" t="s">
        <v>1038</v>
      </c>
      <c r="M738" t="s">
        <v>1033</v>
      </c>
      <c r="N738">
        <v>8</v>
      </c>
      <c r="O738" t="s">
        <v>1051</v>
      </c>
    </row>
    <row r="739" spans="1:15" x14ac:dyDescent="0.25">
      <c r="A739">
        <v>267</v>
      </c>
      <c r="B739" s="6">
        <v>45257</v>
      </c>
      <c r="C739" s="5" t="s">
        <v>761</v>
      </c>
      <c r="D739" s="5" t="s">
        <v>1</v>
      </c>
      <c r="E739">
        <v>32</v>
      </c>
      <c r="F739" s="5" t="s">
        <v>717</v>
      </c>
      <c r="G739">
        <v>3</v>
      </c>
      <c r="H739" s="11">
        <v>30</v>
      </c>
      <c r="I739" s="11">
        <v>90</v>
      </c>
      <c r="J739" t="s">
        <v>20</v>
      </c>
      <c r="K739" t="s">
        <v>1028</v>
      </c>
      <c r="L739" t="s">
        <v>1038</v>
      </c>
      <c r="M739" t="s">
        <v>1047</v>
      </c>
      <c r="N739">
        <v>11</v>
      </c>
      <c r="O739" t="s">
        <v>1048</v>
      </c>
    </row>
    <row r="740" spans="1:15" x14ac:dyDescent="0.25">
      <c r="A740">
        <v>271</v>
      </c>
      <c r="B740" s="6">
        <v>45100</v>
      </c>
      <c r="C740" s="5" t="s">
        <v>762</v>
      </c>
      <c r="D740" s="5" t="s">
        <v>1</v>
      </c>
      <c r="E740">
        <v>62</v>
      </c>
      <c r="F740" s="5" t="s">
        <v>717</v>
      </c>
      <c r="G740">
        <v>4</v>
      </c>
      <c r="H740" s="11">
        <v>30</v>
      </c>
      <c r="I740" s="11">
        <v>120</v>
      </c>
      <c r="J740" t="s">
        <v>24</v>
      </c>
      <c r="K740" t="s">
        <v>1030</v>
      </c>
      <c r="L740" t="s">
        <v>1038</v>
      </c>
      <c r="M740" t="s">
        <v>1041</v>
      </c>
      <c r="N740">
        <v>6</v>
      </c>
      <c r="O740" t="s">
        <v>1050</v>
      </c>
    </row>
    <row r="741" spans="1:15" x14ac:dyDescent="0.25">
      <c r="A741">
        <v>276</v>
      </c>
      <c r="B741" s="6">
        <v>45201</v>
      </c>
      <c r="C741" s="5" t="s">
        <v>763</v>
      </c>
      <c r="D741" s="5" t="s">
        <v>1</v>
      </c>
      <c r="E741">
        <v>21</v>
      </c>
      <c r="F741" s="5" t="s">
        <v>717</v>
      </c>
      <c r="G741">
        <v>4</v>
      </c>
      <c r="H741" s="11">
        <v>25</v>
      </c>
      <c r="I741" s="11">
        <v>100</v>
      </c>
      <c r="J741" t="s">
        <v>22</v>
      </c>
      <c r="K741" t="s">
        <v>1029</v>
      </c>
      <c r="L741" t="s">
        <v>1038</v>
      </c>
      <c r="M741" t="s">
        <v>1047</v>
      </c>
      <c r="N741">
        <v>10</v>
      </c>
      <c r="O741" t="s">
        <v>1049</v>
      </c>
    </row>
    <row r="742" spans="1:15" x14ac:dyDescent="0.25">
      <c r="A742">
        <v>290</v>
      </c>
      <c r="B742" s="6">
        <v>45203</v>
      </c>
      <c r="C742" s="5" t="s">
        <v>764</v>
      </c>
      <c r="D742" s="5" t="s">
        <v>1</v>
      </c>
      <c r="E742">
        <v>30</v>
      </c>
      <c r="F742" s="5" t="s">
        <v>717</v>
      </c>
      <c r="G742">
        <v>2</v>
      </c>
      <c r="H742" s="11">
        <v>300</v>
      </c>
      <c r="I742" s="11">
        <v>600</v>
      </c>
      <c r="J742" t="s">
        <v>20</v>
      </c>
      <c r="K742" t="s">
        <v>1028</v>
      </c>
      <c r="L742" t="s">
        <v>1038</v>
      </c>
      <c r="M742" t="s">
        <v>1047</v>
      </c>
      <c r="N742">
        <v>10</v>
      </c>
      <c r="O742" t="s">
        <v>1049</v>
      </c>
    </row>
    <row r="743" spans="1:15" x14ac:dyDescent="0.25">
      <c r="A743">
        <v>292</v>
      </c>
      <c r="B743" s="6">
        <v>44974</v>
      </c>
      <c r="C743" s="5" t="s">
        <v>765</v>
      </c>
      <c r="D743" s="5" t="s">
        <v>2</v>
      </c>
      <c r="E743">
        <v>20</v>
      </c>
      <c r="F743" s="5" t="s">
        <v>717</v>
      </c>
      <c r="G743">
        <v>4</v>
      </c>
      <c r="H743" s="11">
        <v>300</v>
      </c>
      <c r="I743" s="11">
        <v>1200</v>
      </c>
      <c r="J743" t="s">
        <v>22</v>
      </c>
      <c r="K743" t="s">
        <v>1029</v>
      </c>
      <c r="L743" t="s">
        <v>1038</v>
      </c>
      <c r="M743" t="s">
        <v>1039</v>
      </c>
      <c r="N743">
        <v>2</v>
      </c>
      <c r="O743" t="s">
        <v>1044</v>
      </c>
    </row>
    <row r="744" spans="1:15" x14ac:dyDescent="0.25">
      <c r="A744">
        <v>295</v>
      </c>
      <c r="B744" s="6">
        <v>45135</v>
      </c>
      <c r="C744" s="5" t="s">
        <v>766</v>
      </c>
      <c r="D744" s="5" t="s">
        <v>1</v>
      </c>
      <c r="E744">
        <v>27</v>
      </c>
      <c r="F744" s="5" t="s">
        <v>717</v>
      </c>
      <c r="G744">
        <v>3</v>
      </c>
      <c r="H744" s="11">
        <v>300</v>
      </c>
      <c r="I744" s="11">
        <v>900</v>
      </c>
      <c r="J744" t="s">
        <v>22</v>
      </c>
      <c r="K744" t="s">
        <v>1029</v>
      </c>
      <c r="L744" t="s">
        <v>1038</v>
      </c>
      <c r="M744" t="s">
        <v>1033</v>
      </c>
      <c r="N744">
        <v>7</v>
      </c>
      <c r="O744" t="s">
        <v>1046</v>
      </c>
    </row>
    <row r="745" spans="1:15" x14ac:dyDescent="0.25">
      <c r="A745">
        <v>298</v>
      </c>
      <c r="B745" s="6">
        <v>45036</v>
      </c>
      <c r="C745" s="5" t="s">
        <v>767</v>
      </c>
      <c r="D745" s="5" t="s">
        <v>2</v>
      </c>
      <c r="E745">
        <v>27</v>
      </c>
      <c r="F745" s="5" t="s">
        <v>717</v>
      </c>
      <c r="G745">
        <v>4</v>
      </c>
      <c r="H745" s="11">
        <v>300</v>
      </c>
      <c r="I745" s="11">
        <v>1200</v>
      </c>
      <c r="J745" t="s">
        <v>22</v>
      </c>
      <c r="K745" t="s">
        <v>1029</v>
      </c>
      <c r="L745" t="s">
        <v>1038</v>
      </c>
      <c r="M745" t="s">
        <v>1041</v>
      </c>
      <c r="N745">
        <v>4</v>
      </c>
      <c r="O745" t="s">
        <v>1042</v>
      </c>
    </row>
    <row r="746" spans="1:15" x14ac:dyDescent="0.25">
      <c r="A746">
        <v>302</v>
      </c>
      <c r="B746" s="6">
        <v>45121</v>
      </c>
      <c r="C746" s="5" t="s">
        <v>768</v>
      </c>
      <c r="D746" s="5" t="s">
        <v>2</v>
      </c>
      <c r="E746">
        <v>57</v>
      </c>
      <c r="F746" s="5" t="s">
        <v>717</v>
      </c>
      <c r="G746">
        <v>2</v>
      </c>
      <c r="H746" s="11">
        <v>300</v>
      </c>
      <c r="I746" s="11">
        <v>600</v>
      </c>
      <c r="J746" t="s">
        <v>24</v>
      </c>
      <c r="K746" t="s">
        <v>1030</v>
      </c>
      <c r="L746" t="s">
        <v>1038</v>
      </c>
      <c r="M746" t="s">
        <v>1033</v>
      </c>
      <c r="N746">
        <v>7</v>
      </c>
      <c r="O746" t="s">
        <v>1046</v>
      </c>
    </row>
    <row r="747" spans="1:15" x14ac:dyDescent="0.25">
      <c r="A747">
        <v>305</v>
      </c>
      <c r="B747" s="6">
        <v>45062</v>
      </c>
      <c r="C747" s="5" t="s">
        <v>769</v>
      </c>
      <c r="D747" s="5" t="s">
        <v>1</v>
      </c>
      <c r="E747">
        <v>18</v>
      </c>
      <c r="F747" s="5" t="s">
        <v>717</v>
      </c>
      <c r="G747">
        <v>1</v>
      </c>
      <c r="H747" s="11">
        <v>30</v>
      </c>
      <c r="I747" s="11">
        <v>30</v>
      </c>
      <c r="J747" t="s">
        <v>22</v>
      </c>
      <c r="K747" t="s">
        <v>1029</v>
      </c>
      <c r="L747" t="s">
        <v>1038</v>
      </c>
      <c r="M747" t="s">
        <v>1041</v>
      </c>
      <c r="N747">
        <v>5</v>
      </c>
      <c r="O747" t="s">
        <v>1032</v>
      </c>
    </row>
    <row r="748" spans="1:15" x14ac:dyDescent="0.25">
      <c r="A748">
        <v>308</v>
      </c>
      <c r="B748" s="6">
        <v>45143</v>
      </c>
      <c r="C748" s="5" t="s">
        <v>770</v>
      </c>
      <c r="D748" s="5" t="s">
        <v>1</v>
      </c>
      <c r="E748">
        <v>34</v>
      </c>
      <c r="F748" s="5" t="s">
        <v>717</v>
      </c>
      <c r="G748">
        <v>4</v>
      </c>
      <c r="H748" s="11">
        <v>300</v>
      </c>
      <c r="I748" s="11">
        <v>1200</v>
      </c>
      <c r="J748" t="s">
        <v>20</v>
      </c>
      <c r="K748" t="s">
        <v>1028</v>
      </c>
      <c r="L748" t="s">
        <v>1038</v>
      </c>
      <c r="M748" t="s">
        <v>1033</v>
      </c>
      <c r="N748">
        <v>8</v>
      </c>
      <c r="O748" t="s">
        <v>1051</v>
      </c>
    </row>
    <row r="749" spans="1:15" x14ac:dyDescent="0.25">
      <c r="A749">
        <v>309</v>
      </c>
      <c r="B749" s="6">
        <v>45283</v>
      </c>
      <c r="C749" s="5" t="s">
        <v>771</v>
      </c>
      <c r="D749" s="5" t="s">
        <v>1</v>
      </c>
      <c r="E749">
        <v>26</v>
      </c>
      <c r="F749" s="5" t="s">
        <v>717</v>
      </c>
      <c r="G749">
        <v>1</v>
      </c>
      <c r="H749" s="11">
        <v>25</v>
      </c>
      <c r="I749" s="11">
        <v>25</v>
      </c>
      <c r="J749" t="s">
        <v>22</v>
      </c>
      <c r="K749" t="s">
        <v>1029</v>
      </c>
      <c r="L749" t="s">
        <v>1038</v>
      </c>
      <c r="M749" t="s">
        <v>1047</v>
      </c>
      <c r="N749">
        <v>12</v>
      </c>
      <c r="O749" t="s">
        <v>1052</v>
      </c>
    </row>
    <row r="750" spans="1:15" x14ac:dyDescent="0.25">
      <c r="A750">
        <v>310</v>
      </c>
      <c r="B750" s="6">
        <v>45211</v>
      </c>
      <c r="C750" s="5" t="s">
        <v>772</v>
      </c>
      <c r="D750" s="5" t="s">
        <v>1</v>
      </c>
      <c r="E750">
        <v>28</v>
      </c>
      <c r="F750" s="5" t="s">
        <v>717</v>
      </c>
      <c r="G750">
        <v>1</v>
      </c>
      <c r="H750" s="11">
        <v>25</v>
      </c>
      <c r="I750" s="11">
        <v>25</v>
      </c>
      <c r="J750" t="s">
        <v>22</v>
      </c>
      <c r="K750" t="s">
        <v>1029</v>
      </c>
      <c r="L750" t="s">
        <v>1038</v>
      </c>
      <c r="M750" t="s">
        <v>1047</v>
      </c>
      <c r="N750">
        <v>10</v>
      </c>
      <c r="O750" t="s">
        <v>1049</v>
      </c>
    </row>
    <row r="751" spans="1:15" x14ac:dyDescent="0.25">
      <c r="A751">
        <v>311</v>
      </c>
      <c r="B751" s="6">
        <v>45265</v>
      </c>
      <c r="C751" s="5" t="s">
        <v>773</v>
      </c>
      <c r="D751" s="5" t="s">
        <v>1</v>
      </c>
      <c r="E751">
        <v>32</v>
      </c>
      <c r="F751" s="5" t="s">
        <v>717</v>
      </c>
      <c r="G751">
        <v>4</v>
      </c>
      <c r="H751" s="11">
        <v>25</v>
      </c>
      <c r="I751" s="11">
        <v>100</v>
      </c>
      <c r="J751" t="s">
        <v>20</v>
      </c>
      <c r="K751" t="s">
        <v>1028</v>
      </c>
      <c r="L751" t="s">
        <v>1038</v>
      </c>
      <c r="M751" t="s">
        <v>1047</v>
      </c>
      <c r="N751">
        <v>12</v>
      </c>
      <c r="O751" t="s">
        <v>1052</v>
      </c>
    </row>
    <row r="752" spans="1:15" x14ac:dyDescent="0.25">
      <c r="A752">
        <v>323</v>
      </c>
      <c r="B752" s="6">
        <v>44952</v>
      </c>
      <c r="C752" s="5" t="s">
        <v>774</v>
      </c>
      <c r="D752" s="5" t="s">
        <v>1</v>
      </c>
      <c r="E752">
        <v>29</v>
      </c>
      <c r="F752" s="5" t="s">
        <v>717</v>
      </c>
      <c r="G752">
        <v>3</v>
      </c>
      <c r="H752" s="11">
        <v>300</v>
      </c>
      <c r="I752" s="11">
        <v>900</v>
      </c>
      <c r="J752" t="s">
        <v>22</v>
      </c>
      <c r="K752" t="s">
        <v>1029</v>
      </c>
      <c r="L752" t="s">
        <v>1038</v>
      </c>
      <c r="M752" t="s">
        <v>1039</v>
      </c>
      <c r="N752">
        <v>1</v>
      </c>
      <c r="O752" t="s">
        <v>1045</v>
      </c>
    </row>
    <row r="753" spans="1:15" x14ac:dyDescent="0.25">
      <c r="A753">
        <v>335</v>
      </c>
      <c r="B753" s="6">
        <v>44961</v>
      </c>
      <c r="C753" s="5" t="s">
        <v>775</v>
      </c>
      <c r="D753" s="5" t="s">
        <v>1</v>
      </c>
      <c r="E753">
        <v>47</v>
      </c>
      <c r="F753" s="5" t="s">
        <v>717</v>
      </c>
      <c r="G753">
        <v>4</v>
      </c>
      <c r="H753" s="11">
        <v>30</v>
      </c>
      <c r="I753" s="11">
        <v>120</v>
      </c>
      <c r="J753" t="s">
        <v>20</v>
      </c>
      <c r="K753" t="s">
        <v>1028</v>
      </c>
      <c r="L753" t="s">
        <v>1038</v>
      </c>
      <c r="M753" t="s">
        <v>1039</v>
      </c>
      <c r="N753">
        <v>2</v>
      </c>
      <c r="O753" t="s">
        <v>1044</v>
      </c>
    </row>
    <row r="754" spans="1:15" x14ac:dyDescent="0.25">
      <c r="A754">
        <v>344</v>
      </c>
      <c r="B754" s="6">
        <v>44947</v>
      </c>
      <c r="C754" s="5" t="s">
        <v>776</v>
      </c>
      <c r="D754" s="5" t="s">
        <v>1</v>
      </c>
      <c r="E754">
        <v>42</v>
      </c>
      <c r="F754" s="5" t="s">
        <v>717</v>
      </c>
      <c r="G754">
        <v>1</v>
      </c>
      <c r="H754" s="11">
        <v>30</v>
      </c>
      <c r="I754" s="11">
        <v>30</v>
      </c>
      <c r="J754" t="s">
        <v>20</v>
      </c>
      <c r="K754" t="s">
        <v>1028</v>
      </c>
      <c r="L754" t="s">
        <v>1038</v>
      </c>
      <c r="M754" t="s">
        <v>1039</v>
      </c>
      <c r="N754">
        <v>1</v>
      </c>
      <c r="O754" t="s">
        <v>1045</v>
      </c>
    </row>
    <row r="755" spans="1:15" x14ac:dyDescent="0.25">
      <c r="A755">
        <v>350</v>
      </c>
      <c r="B755" s="6">
        <v>45216</v>
      </c>
      <c r="C755" s="5" t="s">
        <v>777</v>
      </c>
      <c r="D755" s="5" t="s">
        <v>2</v>
      </c>
      <c r="E755">
        <v>25</v>
      </c>
      <c r="F755" s="5" t="s">
        <v>717</v>
      </c>
      <c r="G755">
        <v>3</v>
      </c>
      <c r="H755" s="11">
        <v>25</v>
      </c>
      <c r="I755" s="11">
        <v>75</v>
      </c>
      <c r="J755" t="s">
        <v>22</v>
      </c>
      <c r="K755" t="s">
        <v>1029</v>
      </c>
      <c r="L755" t="s">
        <v>1038</v>
      </c>
      <c r="M755" t="s">
        <v>1047</v>
      </c>
      <c r="N755">
        <v>10</v>
      </c>
      <c r="O755" t="s">
        <v>1049</v>
      </c>
    </row>
    <row r="756" spans="1:15" x14ac:dyDescent="0.25">
      <c r="A756">
        <v>358</v>
      </c>
      <c r="B756" s="6">
        <v>45062</v>
      </c>
      <c r="C756" s="5" t="s">
        <v>778</v>
      </c>
      <c r="D756" s="5" t="s">
        <v>1</v>
      </c>
      <c r="E756">
        <v>32</v>
      </c>
      <c r="F756" s="5" t="s">
        <v>717</v>
      </c>
      <c r="G756">
        <v>1</v>
      </c>
      <c r="H756" s="11">
        <v>300</v>
      </c>
      <c r="I756" s="11">
        <v>300</v>
      </c>
      <c r="J756" t="s">
        <v>20</v>
      </c>
      <c r="K756" t="s">
        <v>1028</v>
      </c>
      <c r="L756" t="s">
        <v>1038</v>
      </c>
      <c r="M756" t="s">
        <v>1041</v>
      </c>
      <c r="N756">
        <v>5</v>
      </c>
      <c r="O756" t="s">
        <v>1032</v>
      </c>
    </row>
    <row r="757" spans="1:15" x14ac:dyDescent="0.25">
      <c r="A757">
        <v>363</v>
      </c>
      <c r="B757" s="6">
        <v>45080</v>
      </c>
      <c r="C757" s="5" t="s">
        <v>779</v>
      </c>
      <c r="D757" s="5" t="s">
        <v>2</v>
      </c>
      <c r="E757">
        <v>64</v>
      </c>
      <c r="F757" s="5" t="s">
        <v>717</v>
      </c>
      <c r="G757">
        <v>1</v>
      </c>
      <c r="H757" s="11">
        <v>25</v>
      </c>
      <c r="I757" s="11">
        <v>25</v>
      </c>
      <c r="J757" t="s">
        <v>24</v>
      </c>
      <c r="K757" t="s">
        <v>1030</v>
      </c>
      <c r="L757" t="s">
        <v>1038</v>
      </c>
      <c r="M757" t="s">
        <v>1041</v>
      </c>
      <c r="N757">
        <v>6</v>
      </c>
      <c r="O757" t="s">
        <v>1050</v>
      </c>
    </row>
    <row r="758" spans="1:15" x14ac:dyDescent="0.25">
      <c r="A758">
        <v>371</v>
      </c>
      <c r="B758" s="6">
        <v>44978</v>
      </c>
      <c r="C758" s="5" t="s">
        <v>780</v>
      </c>
      <c r="D758" s="5" t="s">
        <v>1</v>
      </c>
      <c r="E758">
        <v>20</v>
      </c>
      <c r="F758" s="5" t="s">
        <v>717</v>
      </c>
      <c r="G758">
        <v>1</v>
      </c>
      <c r="H758" s="11">
        <v>25</v>
      </c>
      <c r="I758" s="11">
        <v>25</v>
      </c>
      <c r="J758" t="s">
        <v>22</v>
      </c>
      <c r="K758" t="s">
        <v>1029</v>
      </c>
      <c r="L758" t="s">
        <v>1038</v>
      </c>
      <c r="M758" t="s">
        <v>1039</v>
      </c>
      <c r="N758">
        <v>2</v>
      </c>
      <c r="O758" t="s">
        <v>1044</v>
      </c>
    </row>
    <row r="759" spans="1:15" x14ac:dyDescent="0.25">
      <c r="A759">
        <v>373</v>
      </c>
      <c r="B759" s="6">
        <v>45202</v>
      </c>
      <c r="C759" s="5" t="s">
        <v>781</v>
      </c>
      <c r="D759" s="5" t="s">
        <v>1</v>
      </c>
      <c r="E759">
        <v>25</v>
      </c>
      <c r="F759" s="5" t="s">
        <v>717</v>
      </c>
      <c r="G759">
        <v>2</v>
      </c>
      <c r="H759" s="11">
        <v>300</v>
      </c>
      <c r="I759" s="11">
        <v>600</v>
      </c>
      <c r="J759" t="s">
        <v>22</v>
      </c>
      <c r="K759" t="s">
        <v>1029</v>
      </c>
      <c r="L759" t="s">
        <v>1038</v>
      </c>
      <c r="M759" t="s">
        <v>1047</v>
      </c>
      <c r="N759">
        <v>10</v>
      </c>
      <c r="O759" t="s">
        <v>1049</v>
      </c>
    </row>
    <row r="760" spans="1:15" x14ac:dyDescent="0.25">
      <c r="A760">
        <v>374</v>
      </c>
      <c r="B760" s="6">
        <v>45036</v>
      </c>
      <c r="C760" s="5" t="s">
        <v>782</v>
      </c>
      <c r="D760" s="5" t="s">
        <v>1</v>
      </c>
      <c r="E760">
        <v>59</v>
      </c>
      <c r="F760" s="5" t="s">
        <v>717</v>
      </c>
      <c r="G760">
        <v>3</v>
      </c>
      <c r="H760" s="11">
        <v>25</v>
      </c>
      <c r="I760" s="11">
        <v>75</v>
      </c>
      <c r="J760" t="s">
        <v>24</v>
      </c>
      <c r="K760" t="s">
        <v>1030</v>
      </c>
      <c r="L760" t="s">
        <v>1038</v>
      </c>
      <c r="M760" t="s">
        <v>1041</v>
      </c>
      <c r="N760">
        <v>4</v>
      </c>
      <c r="O760" t="s">
        <v>1042</v>
      </c>
    </row>
    <row r="761" spans="1:15" x14ac:dyDescent="0.25">
      <c r="A761">
        <v>376</v>
      </c>
      <c r="B761" s="6">
        <v>45062</v>
      </c>
      <c r="C761" s="5" t="s">
        <v>783</v>
      </c>
      <c r="D761" s="5" t="s">
        <v>1</v>
      </c>
      <c r="E761">
        <v>64</v>
      </c>
      <c r="F761" s="5" t="s">
        <v>717</v>
      </c>
      <c r="G761">
        <v>1</v>
      </c>
      <c r="H761" s="11">
        <v>30</v>
      </c>
      <c r="I761" s="11">
        <v>30</v>
      </c>
      <c r="J761" t="s">
        <v>24</v>
      </c>
      <c r="K761" t="s">
        <v>1030</v>
      </c>
      <c r="L761" t="s">
        <v>1038</v>
      </c>
      <c r="M761" t="s">
        <v>1041</v>
      </c>
      <c r="N761">
        <v>5</v>
      </c>
      <c r="O761" t="s">
        <v>1032</v>
      </c>
    </row>
    <row r="762" spans="1:15" x14ac:dyDescent="0.25">
      <c r="A762">
        <v>378</v>
      </c>
      <c r="B762" s="6">
        <v>45105</v>
      </c>
      <c r="C762" s="5" t="s">
        <v>784</v>
      </c>
      <c r="D762" s="5" t="s">
        <v>2</v>
      </c>
      <c r="E762">
        <v>50</v>
      </c>
      <c r="F762" s="5" t="s">
        <v>717</v>
      </c>
      <c r="G762">
        <v>1</v>
      </c>
      <c r="H762" s="11">
        <v>300</v>
      </c>
      <c r="I762" s="11">
        <v>300</v>
      </c>
      <c r="J762" t="s">
        <v>20</v>
      </c>
      <c r="K762" t="s">
        <v>1028</v>
      </c>
      <c r="L762" t="s">
        <v>1038</v>
      </c>
      <c r="M762" t="s">
        <v>1041</v>
      </c>
      <c r="N762">
        <v>6</v>
      </c>
      <c r="O762" t="s">
        <v>1050</v>
      </c>
    </row>
    <row r="763" spans="1:15" x14ac:dyDescent="0.25">
      <c r="A763">
        <v>383</v>
      </c>
      <c r="B763" s="6">
        <v>45007</v>
      </c>
      <c r="C763" s="5" t="s">
        <v>785</v>
      </c>
      <c r="D763" s="5" t="s">
        <v>1</v>
      </c>
      <c r="E763">
        <v>46</v>
      </c>
      <c r="F763" s="5" t="s">
        <v>717</v>
      </c>
      <c r="G763">
        <v>3</v>
      </c>
      <c r="H763" s="11">
        <v>30</v>
      </c>
      <c r="I763" s="11">
        <v>90</v>
      </c>
      <c r="J763" t="s">
        <v>20</v>
      </c>
      <c r="K763" t="s">
        <v>1028</v>
      </c>
      <c r="L763" t="s">
        <v>1038</v>
      </c>
      <c r="M763" t="s">
        <v>1039</v>
      </c>
      <c r="N763">
        <v>3</v>
      </c>
      <c r="O763" t="s">
        <v>1040</v>
      </c>
    </row>
    <row r="764" spans="1:15" x14ac:dyDescent="0.25">
      <c r="A764">
        <v>387</v>
      </c>
      <c r="B764" s="6">
        <v>45081</v>
      </c>
      <c r="C764" s="5" t="s">
        <v>786</v>
      </c>
      <c r="D764" s="5" t="s">
        <v>2</v>
      </c>
      <c r="E764">
        <v>44</v>
      </c>
      <c r="F764" s="5" t="s">
        <v>717</v>
      </c>
      <c r="G764">
        <v>1</v>
      </c>
      <c r="H764" s="11">
        <v>30</v>
      </c>
      <c r="I764" s="11">
        <v>30</v>
      </c>
      <c r="J764" t="s">
        <v>20</v>
      </c>
      <c r="K764" t="s">
        <v>1028</v>
      </c>
      <c r="L764" t="s">
        <v>1038</v>
      </c>
      <c r="M764" t="s">
        <v>1041</v>
      </c>
      <c r="N764">
        <v>6</v>
      </c>
      <c r="O764" t="s">
        <v>1050</v>
      </c>
    </row>
    <row r="765" spans="1:15" x14ac:dyDescent="0.25">
      <c r="A765">
        <v>391</v>
      </c>
      <c r="B765" s="6">
        <v>44931</v>
      </c>
      <c r="C765" s="5" t="s">
        <v>787</v>
      </c>
      <c r="D765" s="5" t="s">
        <v>2</v>
      </c>
      <c r="E765">
        <v>19</v>
      </c>
      <c r="F765" s="5" t="s">
        <v>717</v>
      </c>
      <c r="G765">
        <v>2</v>
      </c>
      <c r="H765" s="11">
        <v>25</v>
      </c>
      <c r="I765" s="11">
        <v>50</v>
      </c>
      <c r="J765" t="s">
        <v>22</v>
      </c>
      <c r="K765" t="s">
        <v>1029</v>
      </c>
      <c r="L765" t="s">
        <v>1038</v>
      </c>
      <c r="M765" t="s">
        <v>1039</v>
      </c>
      <c r="N765">
        <v>1</v>
      </c>
      <c r="O765" t="s">
        <v>1045</v>
      </c>
    </row>
    <row r="766" spans="1:15" x14ac:dyDescent="0.25">
      <c r="A766">
        <v>396</v>
      </c>
      <c r="B766" s="6">
        <v>44980</v>
      </c>
      <c r="C766" s="5" t="s">
        <v>788</v>
      </c>
      <c r="D766" s="5" t="s">
        <v>1</v>
      </c>
      <c r="E766">
        <v>55</v>
      </c>
      <c r="F766" s="5" t="s">
        <v>717</v>
      </c>
      <c r="G766">
        <v>1</v>
      </c>
      <c r="H766" s="11">
        <v>30</v>
      </c>
      <c r="I766" s="11">
        <v>30</v>
      </c>
      <c r="J766" t="s">
        <v>20</v>
      </c>
      <c r="K766" t="s">
        <v>1028</v>
      </c>
      <c r="L766" t="s">
        <v>1038</v>
      </c>
      <c r="M766" t="s">
        <v>1039</v>
      </c>
      <c r="N766">
        <v>2</v>
      </c>
      <c r="O766" t="s">
        <v>1044</v>
      </c>
    </row>
    <row r="767" spans="1:15" x14ac:dyDescent="0.25">
      <c r="A767">
        <v>397</v>
      </c>
      <c r="B767" s="6">
        <v>44995</v>
      </c>
      <c r="C767" s="5" t="s">
        <v>789</v>
      </c>
      <c r="D767" s="5" t="s">
        <v>1</v>
      </c>
      <c r="E767">
        <v>30</v>
      </c>
      <c r="F767" s="5" t="s">
        <v>717</v>
      </c>
      <c r="G767">
        <v>1</v>
      </c>
      <c r="H767" s="11">
        <v>25</v>
      </c>
      <c r="I767" s="11">
        <v>25</v>
      </c>
      <c r="J767" t="s">
        <v>20</v>
      </c>
      <c r="K767" t="s">
        <v>1028</v>
      </c>
      <c r="L767" t="s">
        <v>1038</v>
      </c>
      <c r="M767" t="s">
        <v>1039</v>
      </c>
      <c r="N767">
        <v>3</v>
      </c>
      <c r="O767" t="s">
        <v>1040</v>
      </c>
    </row>
    <row r="768" spans="1:15" x14ac:dyDescent="0.25">
      <c r="A768">
        <v>399</v>
      </c>
      <c r="B768" s="6">
        <v>44986</v>
      </c>
      <c r="C768" s="5" t="s">
        <v>790</v>
      </c>
      <c r="D768" s="5" t="s">
        <v>1</v>
      </c>
      <c r="E768">
        <v>64</v>
      </c>
      <c r="F768" s="5" t="s">
        <v>717</v>
      </c>
      <c r="G768">
        <v>2</v>
      </c>
      <c r="H768" s="11">
        <v>30</v>
      </c>
      <c r="I768" s="11">
        <v>60</v>
      </c>
      <c r="J768" t="s">
        <v>24</v>
      </c>
      <c r="K768" t="s">
        <v>1030</v>
      </c>
      <c r="L768" t="s">
        <v>1038</v>
      </c>
      <c r="M768" t="s">
        <v>1039</v>
      </c>
      <c r="N768">
        <v>3</v>
      </c>
      <c r="O768" t="s">
        <v>1040</v>
      </c>
    </row>
    <row r="769" spans="1:15" x14ac:dyDescent="0.25">
      <c r="A769">
        <v>406</v>
      </c>
      <c r="B769" s="6">
        <v>45034</v>
      </c>
      <c r="C769" s="5" t="s">
        <v>791</v>
      </c>
      <c r="D769" s="5" t="s">
        <v>1</v>
      </c>
      <c r="E769">
        <v>22</v>
      </c>
      <c r="F769" s="5" t="s">
        <v>717</v>
      </c>
      <c r="G769">
        <v>4</v>
      </c>
      <c r="H769" s="11">
        <v>25</v>
      </c>
      <c r="I769" s="11">
        <v>100</v>
      </c>
      <c r="J769" t="s">
        <v>22</v>
      </c>
      <c r="K769" t="s">
        <v>1029</v>
      </c>
      <c r="L769" t="s">
        <v>1038</v>
      </c>
      <c r="M769" t="s">
        <v>1041</v>
      </c>
      <c r="N769">
        <v>4</v>
      </c>
      <c r="O769" t="s">
        <v>1042</v>
      </c>
    </row>
    <row r="770" spans="1:15" x14ac:dyDescent="0.25">
      <c r="A770">
        <v>413</v>
      </c>
      <c r="B770" s="6">
        <v>45177</v>
      </c>
      <c r="C770" s="5" t="s">
        <v>792</v>
      </c>
      <c r="D770" s="5" t="s">
        <v>1</v>
      </c>
      <c r="E770">
        <v>44</v>
      </c>
      <c r="F770" s="5" t="s">
        <v>717</v>
      </c>
      <c r="G770">
        <v>3</v>
      </c>
      <c r="H770" s="11">
        <v>25</v>
      </c>
      <c r="I770" s="11">
        <v>75</v>
      </c>
      <c r="J770" t="s">
        <v>20</v>
      </c>
      <c r="K770" t="s">
        <v>1028</v>
      </c>
      <c r="L770" t="s">
        <v>1038</v>
      </c>
      <c r="M770" t="s">
        <v>1033</v>
      </c>
      <c r="N770">
        <v>9</v>
      </c>
      <c r="O770" t="s">
        <v>1043</v>
      </c>
    </row>
    <row r="771" spans="1:15" x14ac:dyDescent="0.25">
      <c r="A771">
        <v>414</v>
      </c>
      <c r="B771" s="6">
        <v>45055</v>
      </c>
      <c r="C771" s="5" t="s">
        <v>793</v>
      </c>
      <c r="D771" s="5" t="s">
        <v>2</v>
      </c>
      <c r="E771">
        <v>48</v>
      </c>
      <c r="F771" s="5" t="s">
        <v>717</v>
      </c>
      <c r="G771">
        <v>4</v>
      </c>
      <c r="H771" s="11">
        <v>25</v>
      </c>
      <c r="I771" s="11">
        <v>100</v>
      </c>
      <c r="J771" t="s">
        <v>20</v>
      </c>
      <c r="K771" t="s">
        <v>1028</v>
      </c>
      <c r="L771" t="s">
        <v>1038</v>
      </c>
      <c r="M771" t="s">
        <v>1041</v>
      </c>
      <c r="N771">
        <v>5</v>
      </c>
      <c r="O771" t="s">
        <v>1032</v>
      </c>
    </row>
    <row r="772" spans="1:15" x14ac:dyDescent="0.25">
      <c r="A772">
        <v>424</v>
      </c>
      <c r="B772" s="6">
        <v>45253</v>
      </c>
      <c r="C772" s="5" t="s">
        <v>794</v>
      </c>
      <c r="D772" s="5" t="s">
        <v>2</v>
      </c>
      <c r="E772">
        <v>57</v>
      </c>
      <c r="F772" s="5" t="s">
        <v>717</v>
      </c>
      <c r="G772">
        <v>4</v>
      </c>
      <c r="H772" s="11">
        <v>300</v>
      </c>
      <c r="I772" s="11">
        <v>1200</v>
      </c>
      <c r="J772" t="s">
        <v>24</v>
      </c>
      <c r="K772" t="s">
        <v>1030</v>
      </c>
      <c r="L772" t="s">
        <v>1038</v>
      </c>
      <c r="M772" t="s">
        <v>1047</v>
      </c>
      <c r="N772">
        <v>11</v>
      </c>
      <c r="O772" t="s">
        <v>1048</v>
      </c>
    </row>
    <row r="773" spans="1:15" x14ac:dyDescent="0.25">
      <c r="A773">
        <v>435</v>
      </c>
      <c r="B773" s="6">
        <v>45280</v>
      </c>
      <c r="C773" s="5" t="s">
        <v>795</v>
      </c>
      <c r="D773" s="5" t="s">
        <v>1</v>
      </c>
      <c r="E773">
        <v>30</v>
      </c>
      <c r="F773" s="5" t="s">
        <v>717</v>
      </c>
      <c r="G773">
        <v>3</v>
      </c>
      <c r="H773" s="11">
        <v>300</v>
      </c>
      <c r="I773" s="11">
        <v>900</v>
      </c>
      <c r="J773" t="s">
        <v>20</v>
      </c>
      <c r="K773" t="s">
        <v>1028</v>
      </c>
      <c r="L773" t="s">
        <v>1038</v>
      </c>
      <c r="M773" t="s">
        <v>1047</v>
      </c>
      <c r="N773">
        <v>12</v>
      </c>
      <c r="O773" t="s">
        <v>1052</v>
      </c>
    </row>
    <row r="774" spans="1:15" x14ac:dyDescent="0.25">
      <c r="A774">
        <v>441</v>
      </c>
      <c r="B774" s="6">
        <v>45209</v>
      </c>
      <c r="C774" s="5" t="s">
        <v>796</v>
      </c>
      <c r="D774" s="5" t="s">
        <v>2</v>
      </c>
      <c r="E774">
        <v>57</v>
      </c>
      <c r="F774" s="5" t="s">
        <v>717</v>
      </c>
      <c r="G774">
        <v>4</v>
      </c>
      <c r="H774" s="11">
        <v>300</v>
      </c>
      <c r="I774" s="11">
        <v>1200</v>
      </c>
      <c r="J774" t="s">
        <v>24</v>
      </c>
      <c r="K774" t="s">
        <v>1030</v>
      </c>
      <c r="L774" t="s">
        <v>1038</v>
      </c>
      <c r="M774" t="s">
        <v>1047</v>
      </c>
      <c r="N774">
        <v>10</v>
      </c>
      <c r="O774" t="s">
        <v>1049</v>
      </c>
    </row>
    <row r="775" spans="1:15" x14ac:dyDescent="0.25">
      <c r="A775">
        <v>448</v>
      </c>
      <c r="B775" s="6">
        <v>44947</v>
      </c>
      <c r="C775" s="5" t="s">
        <v>797</v>
      </c>
      <c r="D775" s="5" t="s">
        <v>1</v>
      </c>
      <c r="E775">
        <v>54</v>
      </c>
      <c r="F775" s="5" t="s">
        <v>717</v>
      </c>
      <c r="G775">
        <v>2</v>
      </c>
      <c r="H775" s="11">
        <v>30</v>
      </c>
      <c r="I775" s="11">
        <v>60</v>
      </c>
      <c r="J775" t="s">
        <v>20</v>
      </c>
      <c r="K775" t="s">
        <v>1028</v>
      </c>
      <c r="L775" t="s">
        <v>1038</v>
      </c>
      <c r="M775" t="s">
        <v>1039</v>
      </c>
      <c r="N775">
        <v>1</v>
      </c>
      <c r="O775" t="s">
        <v>1045</v>
      </c>
    </row>
    <row r="776" spans="1:15" x14ac:dyDescent="0.25">
      <c r="A776">
        <v>450</v>
      </c>
      <c r="B776" s="6">
        <v>45034</v>
      </c>
      <c r="C776" s="5" t="s">
        <v>798</v>
      </c>
      <c r="D776" s="5" t="s">
        <v>1</v>
      </c>
      <c r="E776">
        <v>59</v>
      </c>
      <c r="F776" s="5" t="s">
        <v>717</v>
      </c>
      <c r="G776">
        <v>2</v>
      </c>
      <c r="H776" s="11">
        <v>25</v>
      </c>
      <c r="I776" s="11">
        <v>50</v>
      </c>
      <c r="J776" t="s">
        <v>24</v>
      </c>
      <c r="K776" t="s">
        <v>1030</v>
      </c>
      <c r="L776" t="s">
        <v>1038</v>
      </c>
      <c r="M776" t="s">
        <v>1041</v>
      </c>
      <c r="N776">
        <v>4</v>
      </c>
      <c r="O776" t="s">
        <v>1042</v>
      </c>
    </row>
    <row r="777" spans="1:15" x14ac:dyDescent="0.25">
      <c r="A777">
        <v>454</v>
      </c>
      <c r="B777" s="6">
        <v>44979</v>
      </c>
      <c r="C777" s="5" t="s">
        <v>799</v>
      </c>
      <c r="D777" s="5" t="s">
        <v>1</v>
      </c>
      <c r="E777">
        <v>46</v>
      </c>
      <c r="F777" s="5" t="s">
        <v>717</v>
      </c>
      <c r="G777">
        <v>1</v>
      </c>
      <c r="H777" s="11">
        <v>25</v>
      </c>
      <c r="I777" s="11">
        <v>25</v>
      </c>
      <c r="J777" t="s">
        <v>20</v>
      </c>
      <c r="K777" t="s">
        <v>1028</v>
      </c>
      <c r="L777" t="s">
        <v>1038</v>
      </c>
      <c r="M777" t="s">
        <v>1039</v>
      </c>
      <c r="N777">
        <v>2</v>
      </c>
      <c r="O777" t="s">
        <v>1044</v>
      </c>
    </row>
    <row r="778" spans="1:15" x14ac:dyDescent="0.25">
      <c r="A778">
        <v>457</v>
      </c>
      <c r="B778" s="6">
        <v>45135</v>
      </c>
      <c r="C778" s="5" t="s">
        <v>800</v>
      </c>
      <c r="D778" s="5" t="s">
        <v>1</v>
      </c>
      <c r="E778">
        <v>58</v>
      </c>
      <c r="F778" s="5" t="s">
        <v>717</v>
      </c>
      <c r="G778">
        <v>3</v>
      </c>
      <c r="H778" s="11">
        <v>300</v>
      </c>
      <c r="I778" s="11">
        <v>900</v>
      </c>
      <c r="J778" t="s">
        <v>24</v>
      </c>
      <c r="K778" t="s">
        <v>1030</v>
      </c>
      <c r="L778" t="s">
        <v>1038</v>
      </c>
      <c r="M778" t="s">
        <v>1033</v>
      </c>
      <c r="N778">
        <v>7</v>
      </c>
      <c r="O778" t="s">
        <v>1046</v>
      </c>
    </row>
    <row r="779" spans="1:15" x14ac:dyDescent="0.25">
      <c r="A779">
        <v>469</v>
      </c>
      <c r="B779" s="6">
        <v>45054</v>
      </c>
      <c r="C779" s="5" t="s">
        <v>801</v>
      </c>
      <c r="D779" s="5" t="s">
        <v>2</v>
      </c>
      <c r="E779">
        <v>18</v>
      </c>
      <c r="F779" s="5" t="s">
        <v>717</v>
      </c>
      <c r="G779">
        <v>3</v>
      </c>
      <c r="H779" s="11">
        <v>25</v>
      </c>
      <c r="I779" s="11">
        <v>75</v>
      </c>
      <c r="J779" t="s">
        <v>22</v>
      </c>
      <c r="K779" t="s">
        <v>1029</v>
      </c>
      <c r="L779" t="s">
        <v>1038</v>
      </c>
      <c r="M779" t="s">
        <v>1041</v>
      </c>
      <c r="N779">
        <v>5</v>
      </c>
      <c r="O779" t="s">
        <v>1032</v>
      </c>
    </row>
    <row r="780" spans="1:15" x14ac:dyDescent="0.25">
      <c r="A780">
        <v>472</v>
      </c>
      <c r="B780" s="6">
        <v>45286</v>
      </c>
      <c r="C780" s="5" t="s">
        <v>802</v>
      </c>
      <c r="D780" s="5" t="s">
        <v>1</v>
      </c>
      <c r="E780">
        <v>38</v>
      </c>
      <c r="F780" s="5" t="s">
        <v>717</v>
      </c>
      <c r="G780">
        <v>3</v>
      </c>
      <c r="H780" s="11">
        <v>300</v>
      </c>
      <c r="I780" s="11">
        <v>900</v>
      </c>
      <c r="J780" t="s">
        <v>20</v>
      </c>
      <c r="K780" t="s">
        <v>1028</v>
      </c>
      <c r="L780" t="s">
        <v>1038</v>
      </c>
      <c r="M780" t="s">
        <v>1047</v>
      </c>
      <c r="N780">
        <v>12</v>
      </c>
      <c r="O780" t="s">
        <v>1052</v>
      </c>
    </row>
    <row r="781" spans="1:15" x14ac:dyDescent="0.25">
      <c r="A781">
        <v>492</v>
      </c>
      <c r="B781" s="6">
        <v>45106</v>
      </c>
      <c r="C781" s="5" t="s">
        <v>803</v>
      </c>
      <c r="D781" s="5" t="s">
        <v>2</v>
      </c>
      <c r="E781">
        <v>61</v>
      </c>
      <c r="F781" s="5" t="s">
        <v>717</v>
      </c>
      <c r="G781">
        <v>4</v>
      </c>
      <c r="H781" s="11">
        <v>25</v>
      </c>
      <c r="I781" s="11">
        <v>100</v>
      </c>
      <c r="J781" t="s">
        <v>24</v>
      </c>
      <c r="K781" t="s">
        <v>1030</v>
      </c>
      <c r="L781" t="s">
        <v>1038</v>
      </c>
      <c r="M781" t="s">
        <v>1041</v>
      </c>
      <c r="N781">
        <v>6</v>
      </c>
      <c r="O781" t="s">
        <v>1050</v>
      </c>
    </row>
    <row r="782" spans="1:15" x14ac:dyDescent="0.25">
      <c r="A782">
        <v>493</v>
      </c>
      <c r="B782" s="6">
        <v>45255</v>
      </c>
      <c r="C782" s="5" t="s">
        <v>804</v>
      </c>
      <c r="D782" s="5" t="s">
        <v>2</v>
      </c>
      <c r="E782">
        <v>41</v>
      </c>
      <c r="F782" s="5" t="s">
        <v>717</v>
      </c>
      <c r="G782">
        <v>2</v>
      </c>
      <c r="H782" s="11">
        <v>25</v>
      </c>
      <c r="I782" s="11">
        <v>50</v>
      </c>
      <c r="J782" t="s">
        <v>20</v>
      </c>
      <c r="K782" t="s">
        <v>1028</v>
      </c>
      <c r="L782" t="s">
        <v>1038</v>
      </c>
      <c r="M782" t="s">
        <v>1047</v>
      </c>
      <c r="N782">
        <v>11</v>
      </c>
      <c r="O782" t="s">
        <v>1048</v>
      </c>
    </row>
    <row r="783" spans="1:15" x14ac:dyDescent="0.25">
      <c r="A783">
        <v>495</v>
      </c>
      <c r="B783" s="6">
        <v>45131</v>
      </c>
      <c r="C783" s="5" t="s">
        <v>805</v>
      </c>
      <c r="D783" s="5" t="s">
        <v>2</v>
      </c>
      <c r="E783">
        <v>24</v>
      </c>
      <c r="F783" s="5" t="s">
        <v>717</v>
      </c>
      <c r="G783">
        <v>2</v>
      </c>
      <c r="H783" s="11">
        <v>30</v>
      </c>
      <c r="I783" s="11">
        <v>60</v>
      </c>
      <c r="J783" t="s">
        <v>22</v>
      </c>
      <c r="K783" t="s">
        <v>1029</v>
      </c>
      <c r="L783" t="s">
        <v>1038</v>
      </c>
      <c r="M783" t="s">
        <v>1033</v>
      </c>
      <c r="N783">
        <v>7</v>
      </c>
      <c r="O783" t="s">
        <v>1046</v>
      </c>
    </row>
    <row r="784" spans="1:15" x14ac:dyDescent="0.25">
      <c r="A784">
        <v>499</v>
      </c>
      <c r="B784" s="6">
        <v>44941</v>
      </c>
      <c r="C784" s="5" t="s">
        <v>806</v>
      </c>
      <c r="D784" s="5" t="s">
        <v>2</v>
      </c>
      <c r="E784">
        <v>46</v>
      </c>
      <c r="F784" s="5" t="s">
        <v>717</v>
      </c>
      <c r="G784">
        <v>2</v>
      </c>
      <c r="H784" s="11">
        <v>30</v>
      </c>
      <c r="I784" s="11">
        <v>60</v>
      </c>
      <c r="J784" t="s">
        <v>20</v>
      </c>
      <c r="K784" t="s">
        <v>1028</v>
      </c>
      <c r="L784" t="s">
        <v>1038</v>
      </c>
      <c r="M784" t="s">
        <v>1039</v>
      </c>
      <c r="N784">
        <v>1</v>
      </c>
      <c r="O784" t="s">
        <v>1045</v>
      </c>
    </row>
    <row r="785" spans="1:15" x14ac:dyDescent="0.25">
      <c r="A785">
        <v>500</v>
      </c>
      <c r="B785" s="6">
        <v>44986</v>
      </c>
      <c r="C785" s="5" t="s">
        <v>807</v>
      </c>
      <c r="D785" s="5" t="s">
        <v>1</v>
      </c>
      <c r="E785">
        <v>60</v>
      </c>
      <c r="F785" s="5" t="s">
        <v>717</v>
      </c>
      <c r="G785">
        <v>4</v>
      </c>
      <c r="H785" s="11">
        <v>25</v>
      </c>
      <c r="I785" s="11">
        <v>100</v>
      </c>
      <c r="J785" t="s">
        <v>24</v>
      </c>
      <c r="K785" t="s">
        <v>1030</v>
      </c>
      <c r="L785" t="s">
        <v>1038</v>
      </c>
      <c r="M785" t="s">
        <v>1039</v>
      </c>
      <c r="N785">
        <v>3</v>
      </c>
      <c r="O785" t="s">
        <v>1040</v>
      </c>
    </row>
    <row r="786" spans="1:15" x14ac:dyDescent="0.25">
      <c r="A786">
        <v>508</v>
      </c>
      <c r="B786" s="6">
        <v>45149</v>
      </c>
      <c r="C786" s="5" t="s">
        <v>808</v>
      </c>
      <c r="D786" s="5" t="s">
        <v>2</v>
      </c>
      <c r="E786">
        <v>58</v>
      </c>
      <c r="F786" s="5" t="s">
        <v>717</v>
      </c>
      <c r="G786">
        <v>2</v>
      </c>
      <c r="H786" s="11">
        <v>300</v>
      </c>
      <c r="I786" s="11">
        <v>600</v>
      </c>
      <c r="J786" t="s">
        <v>24</v>
      </c>
      <c r="K786" t="s">
        <v>1030</v>
      </c>
      <c r="L786" t="s">
        <v>1038</v>
      </c>
      <c r="M786" t="s">
        <v>1033</v>
      </c>
      <c r="N786">
        <v>8</v>
      </c>
      <c r="O786" t="s">
        <v>1051</v>
      </c>
    </row>
    <row r="787" spans="1:15" x14ac:dyDescent="0.25">
      <c r="A787">
        <v>512</v>
      </c>
      <c r="B787" s="6">
        <v>45237</v>
      </c>
      <c r="C787" s="5" t="s">
        <v>809</v>
      </c>
      <c r="D787" s="5" t="s">
        <v>1</v>
      </c>
      <c r="E787">
        <v>57</v>
      </c>
      <c r="F787" s="5" t="s">
        <v>717</v>
      </c>
      <c r="G787">
        <v>1</v>
      </c>
      <c r="H787" s="11">
        <v>25</v>
      </c>
      <c r="I787" s="11">
        <v>25</v>
      </c>
      <c r="J787" t="s">
        <v>24</v>
      </c>
      <c r="K787" t="s">
        <v>1030</v>
      </c>
      <c r="L787" t="s">
        <v>1038</v>
      </c>
      <c r="M787" t="s">
        <v>1047</v>
      </c>
      <c r="N787">
        <v>11</v>
      </c>
      <c r="O787" t="s">
        <v>1048</v>
      </c>
    </row>
    <row r="788" spans="1:15" x14ac:dyDescent="0.25">
      <c r="A788">
        <v>516</v>
      </c>
      <c r="B788" s="6">
        <v>45222</v>
      </c>
      <c r="C788" s="5" t="s">
        <v>810</v>
      </c>
      <c r="D788" s="5" t="s">
        <v>2</v>
      </c>
      <c r="E788">
        <v>30</v>
      </c>
      <c r="F788" s="5" t="s">
        <v>717</v>
      </c>
      <c r="G788">
        <v>4</v>
      </c>
      <c r="H788" s="11">
        <v>25</v>
      </c>
      <c r="I788" s="11">
        <v>100</v>
      </c>
      <c r="J788" t="s">
        <v>20</v>
      </c>
      <c r="K788" t="s">
        <v>1028</v>
      </c>
      <c r="L788" t="s">
        <v>1038</v>
      </c>
      <c r="M788" t="s">
        <v>1047</v>
      </c>
      <c r="N788">
        <v>10</v>
      </c>
      <c r="O788" t="s">
        <v>1049</v>
      </c>
    </row>
    <row r="789" spans="1:15" x14ac:dyDescent="0.25">
      <c r="A789">
        <v>524</v>
      </c>
      <c r="B789" s="6">
        <v>45202</v>
      </c>
      <c r="C789" s="5" t="s">
        <v>811</v>
      </c>
      <c r="D789" s="5" t="s">
        <v>2</v>
      </c>
      <c r="E789">
        <v>46</v>
      </c>
      <c r="F789" s="5" t="s">
        <v>717</v>
      </c>
      <c r="G789">
        <v>4</v>
      </c>
      <c r="H789" s="11">
        <v>300</v>
      </c>
      <c r="I789" s="11">
        <v>1200</v>
      </c>
      <c r="J789" t="s">
        <v>20</v>
      </c>
      <c r="K789" t="s">
        <v>1028</v>
      </c>
      <c r="L789" t="s">
        <v>1038</v>
      </c>
      <c r="M789" t="s">
        <v>1047</v>
      </c>
      <c r="N789">
        <v>10</v>
      </c>
      <c r="O789" t="s">
        <v>1049</v>
      </c>
    </row>
    <row r="790" spans="1:15" x14ac:dyDescent="0.25">
      <c r="A790">
        <v>525</v>
      </c>
      <c r="B790" s="6">
        <v>45278</v>
      </c>
      <c r="C790" s="5" t="s">
        <v>812</v>
      </c>
      <c r="D790" s="5" t="s">
        <v>1</v>
      </c>
      <c r="E790">
        <v>47</v>
      </c>
      <c r="F790" s="5" t="s">
        <v>717</v>
      </c>
      <c r="G790">
        <v>2</v>
      </c>
      <c r="H790" s="11">
        <v>25</v>
      </c>
      <c r="I790" s="11">
        <v>50</v>
      </c>
      <c r="J790" t="s">
        <v>20</v>
      </c>
      <c r="K790" t="s">
        <v>1028</v>
      </c>
      <c r="L790" t="s">
        <v>1038</v>
      </c>
      <c r="M790" t="s">
        <v>1047</v>
      </c>
      <c r="N790">
        <v>12</v>
      </c>
      <c r="O790" t="s">
        <v>1052</v>
      </c>
    </row>
    <row r="791" spans="1:15" x14ac:dyDescent="0.25">
      <c r="A791">
        <v>535</v>
      </c>
      <c r="B791" s="6">
        <v>45266</v>
      </c>
      <c r="C791" s="5" t="s">
        <v>813</v>
      </c>
      <c r="D791" s="5" t="s">
        <v>2</v>
      </c>
      <c r="E791">
        <v>47</v>
      </c>
      <c r="F791" s="5" t="s">
        <v>717</v>
      </c>
      <c r="G791">
        <v>3</v>
      </c>
      <c r="H791" s="11">
        <v>30</v>
      </c>
      <c r="I791" s="11">
        <v>90</v>
      </c>
      <c r="J791" t="s">
        <v>20</v>
      </c>
      <c r="K791" t="s">
        <v>1028</v>
      </c>
      <c r="L791" t="s">
        <v>1038</v>
      </c>
      <c r="M791" t="s">
        <v>1047</v>
      </c>
      <c r="N791">
        <v>12</v>
      </c>
      <c r="O791" t="s">
        <v>1052</v>
      </c>
    </row>
    <row r="792" spans="1:15" x14ac:dyDescent="0.25">
      <c r="A792">
        <v>536</v>
      </c>
      <c r="B792" s="6">
        <v>44990</v>
      </c>
      <c r="C792" s="5" t="s">
        <v>814</v>
      </c>
      <c r="D792" s="5" t="s">
        <v>1</v>
      </c>
      <c r="E792">
        <v>55</v>
      </c>
      <c r="F792" s="5" t="s">
        <v>717</v>
      </c>
      <c r="G792">
        <v>4</v>
      </c>
      <c r="H792" s="11">
        <v>30</v>
      </c>
      <c r="I792" s="11">
        <v>120</v>
      </c>
      <c r="J792" t="s">
        <v>20</v>
      </c>
      <c r="K792" t="s">
        <v>1028</v>
      </c>
      <c r="L792" t="s">
        <v>1038</v>
      </c>
      <c r="M792" t="s">
        <v>1039</v>
      </c>
      <c r="N792">
        <v>3</v>
      </c>
      <c r="O792" t="s">
        <v>1040</v>
      </c>
    </row>
    <row r="793" spans="1:15" x14ac:dyDescent="0.25">
      <c r="A793">
        <v>543</v>
      </c>
      <c r="B793" s="6">
        <v>45133</v>
      </c>
      <c r="C793" s="5" t="s">
        <v>815</v>
      </c>
      <c r="D793" s="5" t="s">
        <v>2</v>
      </c>
      <c r="E793">
        <v>49</v>
      </c>
      <c r="F793" s="5" t="s">
        <v>717</v>
      </c>
      <c r="G793">
        <v>2</v>
      </c>
      <c r="H793" s="11">
        <v>300</v>
      </c>
      <c r="I793" s="11">
        <v>600</v>
      </c>
      <c r="J793" t="s">
        <v>20</v>
      </c>
      <c r="K793" t="s">
        <v>1028</v>
      </c>
      <c r="L793" t="s">
        <v>1038</v>
      </c>
      <c r="M793" t="s">
        <v>1033</v>
      </c>
      <c r="N793">
        <v>7</v>
      </c>
      <c r="O793" t="s">
        <v>1046</v>
      </c>
    </row>
    <row r="794" spans="1:15" x14ac:dyDescent="0.25">
      <c r="A794">
        <v>555</v>
      </c>
      <c r="B794" s="6">
        <v>45218</v>
      </c>
      <c r="C794" s="5" t="s">
        <v>816</v>
      </c>
      <c r="D794" s="5" t="s">
        <v>2</v>
      </c>
      <c r="E794">
        <v>25</v>
      </c>
      <c r="F794" s="5" t="s">
        <v>717</v>
      </c>
      <c r="G794">
        <v>1</v>
      </c>
      <c r="H794" s="11">
        <v>300</v>
      </c>
      <c r="I794" s="11">
        <v>300</v>
      </c>
      <c r="J794" t="s">
        <v>22</v>
      </c>
      <c r="K794" t="s">
        <v>1029</v>
      </c>
      <c r="L794" t="s">
        <v>1038</v>
      </c>
      <c r="M794" t="s">
        <v>1047</v>
      </c>
      <c r="N794">
        <v>10</v>
      </c>
      <c r="O794" t="s">
        <v>1049</v>
      </c>
    </row>
    <row r="795" spans="1:15" x14ac:dyDescent="0.25">
      <c r="A795">
        <v>557</v>
      </c>
      <c r="B795" s="6">
        <v>45134</v>
      </c>
      <c r="C795" s="5" t="s">
        <v>817</v>
      </c>
      <c r="D795" s="5" t="s">
        <v>1</v>
      </c>
      <c r="E795">
        <v>20</v>
      </c>
      <c r="F795" s="5" t="s">
        <v>717</v>
      </c>
      <c r="G795">
        <v>3</v>
      </c>
      <c r="H795" s="11">
        <v>30</v>
      </c>
      <c r="I795" s="11">
        <v>90</v>
      </c>
      <c r="J795" t="s">
        <v>22</v>
      </c>
      <c r="K795" t="s">
        <v>1029</v>
      </c>
      <c r="L795" t="s">
        <v>1038</v>
      </c>
      <c r="M795" t="s">
        <v>1033</v>
      </c>
      <c r="N795">
        <v>7</v>
      </c>
      <c r="O795" t="s">
        <v>1046</v>
      </c>
    </row>
    <row r="796" spans="1:15" x14ac:dyDescent="0.25">
      <c r="A796">
        <v>565</v>
      </c>
      <c r="B796" s="6">
        <v>45237</v>
      </c>
      <c r="C796" s="5" t="s">
        <v>818</v>
      </c>
      <c r="D796" s="5" t="s">
        <v>1</v>
      </c>
      <c r="E796">
        <v>45</v>
      </c>
      <c r="F796" s="5" t="s">
        <v>717</v>
      </c>
      <c r="G796">
        <v>2</v>
      </c>
      <c r="H796" s="11">
        <v>30</v>
      </c>
      <c r="I796" s="11">
        <v>60</v>
      </c>
      <c r="J796" t="s">
        <v>20</v>
      </c>
      <c r="K796" t="s">
        <v>1028</v>
      </c>
      <c r="L796" t="s">
        <v>1038</v>
      </c>
      <c r="M796" t="s">
        <v>1047</v>
      </c>
      <c r="N796">
        <v>11</v>
      </c>
      <c r="O796" t="s">
        <v>1048</v>
      </c>
    </row>
    <row r="797" spans="1:15" x14ac:dyDescent="0.25">
      <c r="A797">
        <v>573</v>
      </c>
      <c r="B797" s="6">
        <v>45188</v>
      </c>
      <c r="C797" s="5" t="s">
        <v>819</v>
      </c>
      <c r="D797" s="5" t="s">
        <v>2</v>
      </c>
      <c r="E797">
        <v>49</v>
      </c>
      <c r="F797" s="5" t="s">
        <v>717</v>
      </c>
      <c r="G797">
        <v>2</v>
      </c>
      <c r="H797" s="11">
        <v>30</v>
      </c>
      <c r="I797" s="11">
        <v>60</v>
      </c>
      <c r="J797" t="s">
        <v>20</v>
      </c>
      <c r="K797" t="s">
        <v>1028</v>
      </c>
      <c r="L797" t="s">
        <v>1038</v>
      </c>
      <c r="M797" t="s">
        <v>1033</v>
      </c>
      <c r="N797">
        <v>9</v>
      </c>
      <c r="O797" t="s">
        <v>1043</v>
      </c>
    </row>
    <row r="798" spans="1:15" x14ac:dyDescent="0.25">
      <c r="A798">
        <v>581</v>
      </c>
      <c r="B798" s="6">
        <v>45251</v>
      </c>
      <c r="C798" s="5" t="s">
        <v>820</v>
      </c>
      <c r="D798" s="5" t="s">
        <v>1</v>
      </c>
      <c r="E798">
        <v>48</v>
      </c>
      <c r="F798" s="5" t="s">
        <v>717</v>
      </c>
      <c r="G798">
        <v>2</v>
      </c>
      <c r="H798" s="11">
        <v>30</v>
      </c>
      <c r="I798" s="11">
        <v>60</v>
      </c>
      <c r="J798" t="s">
        <v>20</v>
      </c>
      <c r="K798" t="s">
        <v>1028</v>
      </c>
      <c r="L798" t="s">
        <v>1038</v>
      </c>
      <c r="M798" t="s">
        <v>1047</v>
      </c>
      <c r="N798">
        <v>11</v>
      </c>
      <c r="O798" t="s">
        <v>1048</v>
      </c>
    </row>
    <row r="799" spans="1:15" x14ac:dyDescent="0.25">
      <c r="A799">
        <v>587</v>
      </c>
      <c r="B799" s="6">
        <v>45085</v>
      </c>
      <c r="C799" s="5" t="s">
        <v>821</v>
      </c>
      <c r="D799" s="5" t="s">
        <v>1</v>
      </c>
      <c r="E799">
        <v>40</v>
      </c>
      <c r="F799" s="5" t="s">
        <v>717</v>
      </c>
      <c r="G799">
        <v>4</v>
      </c>
      <c r="H799" s="11">
        <v>300</v>
      </c>
      <c r="I799" s="11">
        <v>1200</v>
      </c>
      <c r="J799" t="s">
        <v>20</v>
      </c>
      <c r="K799" t="s">
        <v>1028</v>
      </c>
      <c r="L799" t="s">
        <v>1038</v>
      </c>
      <c r="M799" t="s">
        <v>1041</v>
      </c>
      <c r="N799">
        <v>6</v>
      </c>
      <c r="O799" t="s">
        <v>1050</v>
      </c>
    </row>
    <row r="800" spans="1:15" x14ac:dyDescent="0.25">
      <c r="A800">
        <v>597</v>
      </c>
      <c r="B800" s="6">
        <v>45160</v>
      </c>
      <c r="C800" s="5" t="s">
        <v>822</v>
      </c>
      <c r="D800" s="5" t="s">
        <v>2</v>
      </c>
      <c r="E800">
        <v>22</v>
      </c>
      <c r="F800" s="5" t="s">
        <v>717</v>
      </c>
      <c r="G800">
        <v>4</v>
      </c>
      <c r="H800" s="11">
        <v>300</v>
      </c>
      <c r="I800" s="11">
        <v>1200</v>
      </c>
      <c r="J800" t="s">
        <v>22</v>
      </c>
      <c r="K800" t="s">
        <v>1029</v>
      </c>
      <c r="L800" t="s">
        <v>1038</v>
      </c>
      <c r="M800" t="s">
        <v>1033</v>
      </c>
      <c r="N800">
        <v>8</v>
      </c>
      <c r="O800" t="s">
        <v>1051</v>
      </c>
    </row>
    <row r="801" spans="1:15" x14ac:dyDescent="0.25">
      <c r="A801">
        <v>598</v>
      </c>
      <c r="B801" s="6">
        <v>45139</v>
      </c>
      <c r="C801" s="5" t="s">
        <v>823</v>
      </c>
      <c r="D801" s="5" t="s">
        <v>2</v>
      </c>
      <c r="E801">
        <v>37</v>
      </c>
      <c r="F801" s="5" t="s">
        <v>717</v>
      </c>
      <c r="G801">
        <v>4</v>
      </c>
      <c r="H801" s="11">
        <v>30</v>
      </c>
      <c r="I801" s="11">
        <v>120</v>
      </c>
      <c r="J801" t="s">
        <v>20</v>
      </c>
      <c r="K801" t="s">
        <v>1028</v>
      </c>
      <c r="L801" t="s">
        <v>1038</v>
      </c>
      <c r="M801" t="s">
        <v>1033</v>
      </c>
      <c r="N801">
        <v>8</v>
      </c>
      <c r="O801" t="s">
        <v>1051</v>
      </c>
    </row>
    <row r="802" spans="1:15" x14ac:dyDescent="0.25">
      <c r="A802">
        <v>610</v>
      </c>
      <c r="B802" s="6">
        <v>44929</v>
      </c>
      <c r="C802" s="5" t="s">
        <v>824</v>
      </c>
      <c r="D802" s="5" t="s">
        <v>1</v>
      </c>
      <c r="E802">
        <v>26</v>
      </c>
      <c r="F802" s="5" t="s">
        <v>717</v>
      </c>
      <c r="G802">
        <v>2</v>
      </c>
      <c r="H802" s="11">
        <v>300</v>
      </c>
      <c r="I802" s="11">
        <v>600</v>
      </c>
      <c r="J802" t="s">
        <v>22</v>
      </c>
      <c r="K802" t="s">
        <v>1029</v>
      </c>
      <c r="L802" t="s">
        <v>1038</v>
      </c>
      <c r="M802" t="s">
        <v>1039</v>
      </c>
      <c r="N802">
        <v>1</v>
      </c>
      <c r="O802" t="s">
        <v>1045</v>
      </c>
    </row>
    <row r="803" spans="1:15" x14ac:dyDescent="0.25">
      <c r="A803">
        <v>614</v>
      </c>
      <c r="B803" s="6">
        <v>45017</v>
      </c>
      <c r="C803" s="5" t="s">
        <v>825</v>
      </c>
      <c r="D803" s="5" t="s">
        <v>1</v>
      </c>
      <c r="E803">
        <v>39</v>
      </c>
      <c r="F803" s="5" t="s">
        <v>717</v>
      </c>
      <c r="G803">
        <v>4</v>
      </c>
      <c r="H803" s="11">
        <v>300</v>
      </c>
      <c r="I803" s="11">
        <v>1200</v>
      </c>
      <c r="J803" t="s">
        <v>20</v>
      </c>
      <c r="K803" t="s">
        <v>1028</v>
      </c>
      <c r="L803" t="s">
        <v>1038</v>
      </c>
      <c r="M803" t="s">
        <v>1041</v>
      </c>
      <c r="N803">
        <v>4</v>
      </c>
      <c r="O803" t="s">
        <v>1042</v>
      </c>
    </row>
    <row r="804" spans="1:15" x14ac:dyDescent="0.25">
      <c r="A804">
        <v>622</v>
      </c>
      <c r="B804" s="6">
        <v>45160</v>
      </c>
      <c r="C804" s="5" t="s">
        <v>826</v>
      </c>
      <c r="D804" s="5" t="s">
        <v>1</v>
      </c>
      <c r="E804">
        <v>49</v>
      </c>
      <c r="F804" s="5" t="s">
        <v>717</v>
      </c>
      <c r="G804">
        <v>3</v>
      </c>
      <c r="H804" s="11">
        <v>25</v>
      </c>
      <c r="I804" s="11">
        <v>75</v>
      </c>
      <c r="J804" t="s">
        <v>20</v>
      </c>
      <c r="K804" t="s">
        <v>1028</v>
      </c>
      <c r="L804" t="s">
        <v>1038</v>
      </c>
      <c r="M804" t="s">
        <v>1033</v>
      </c>
      <c r="N804">
        <v>8</v>
      </c>
      <c r="O804" t="s">
        <v>1051</v>
      </c>
    </row>
    <row r="805" spans="1:15" x14ac:dyDescent="0.25">
      <c r="A805">
        <v>624</v>
      </c>
      <c r="B805" s="6">
        <v>45164</v>
      </c>
      <c r="C805" s="5" t="s">
        <v>827</v>
      </c>
      <c r="D805" s="5" t="s">
        <v>1</v>
      </c>
      <c r="E805">
        <v>34</v>
      </c>
      <c r="F805" s="5" t="s">
        <v>717</v>
      </c>
      <c r="G805">
        <v>3</v>
      </c>
      <c r="H805" s="11">
        <v>300</v>
      </c>
      <c r="I805" s="11">
        <v>900</v>
      </c>
      <c r="J805" t="s">
        <v>20</v>
      </c>
      <c r="K805" t="s">
        <v>1028</v>
      </c>
      <c r="L805" t="s">
        <v>1038</v>
      </c>
      <c r="M805" t="s">
        <v>1033</v>
      </c>
      <c r="N805">
        <v>8</v>
      </c>
      <c r="O805" t="s">
        <v>1051</v>
      </c>
    </row>
    <row r="806" spans="1:15" x14ac:dyDescent="0.25">
      <c r="A806">
        <v>633</v>
      </c>
      <c r="B806" s="6">
        <v>45145</v>
      </c>
      <c r="C806" s="5" t="s">
        <v>828</v>
      </c>
      <c r="D806" s="5" t="s">
        <v>2</v>
      </c>
      <c r="E806">
        <v>39</v>
      </c>
      <c r="F806" s="5" t="s">
        <v>717</v>
      </c>
      <c r="G806">
        <v>4</v>
      </c>
      <c r="H806" s="11">
        <v>30</v>
      </c>
      <c r="I806" s="11">
        <v>120</v>
      </c>
      <c r="J806" t="s">
        <v>20</v>
      </c>
      <c r="K806" t="s">
        <v>1028</v>
      </c>
      <c r="L806" t="s">
        <v>1038</v>
      </c>
      <c r="M806" t="s">
        <v>1033</v>
      </c>
      <c r="N806">
        <v>8</v>
      </c>
      <c r="O806" t="s">
        <v>1051</v>
      </c>
    </row>
    <row r="807" spans="1:15" x14ac:dyDescent="0.25">
      <c r="A807">
        <v>644</v>
      </c>
      <c r="B807" s="6">
        <v>45175</v>
      </c>
      <c r="C807" s="5" t="s">
        <v>829</v>
      </c>
      <c r="D807" s="5" t="s">
        <v>2</v>
      </c>
      <c r="E807">
        <v>23</v>
      </c>
      <c r="F807" s="5" t="s">
        <v>717</v>
      </c>
      <c r="G807">
        <v>3</v>
      </c>
      <c r="H807" s="11">
        <v>25</v>
      </c>
      <c r="I807" s="11">
        <v>75</v>
      </c>
      <c r="J807" t="s">
        <v>22</v>
      </c>
      <c r="K807" t="s">
        <v>1029</v>
      </c>
      <c r="L807" t="s">
        <v>1038</v>
      </c>
      <c r="M807" t="s">
        <v>1033</v>
      </c>
      <c r="N807">
        <v>9</v>
      </c>
      <c r="O807" t="s">
        <v>1043</v>
      </c>
    </row>
    <row r="808" spans="1:15" x14ac:dyDescent="0.25">
      <c r="A808">
        <v>648</v>
      </c>
      <c r="B808" s="6">
        <v>45152</v>
      </c>
      <c r="C808" s="5" t="s">
        <v>830</v>
      </c>
      <c r="D808" s="5" t="s">
        <v>2</v>
      </c>
      <c r="E808">
        <v>53</v>
      </c>
      <c r="F808" s="5" t="s">
        <v>717</v>
      </c>
      <c r="G808">
        <v>4</v>
      </c>
      <c r="H808" s="11">
        <v>300</v>
      </c>
      <c r="I808" s="11">
        <v>1200</v>
      </c>
      <c r="J808" t="s">
        <v>20</v>
      </c>
      <c r="K808" t="s">
        <v>1028</v>
      </c>
      <c r="L808" t="s">
        <v>1038</v>
      </c>
      <c r="M808" t="s">
        <v>1033</v>
      </c>
      <c r="N808">
        <v>8</v>
      </c>
      <c r="O808" t="s">
        <v>1051</v>
      </c>
    </row>
    <row r="809" spans="1:15" x14ac:dyDescent="0.25">
      <c r="A809">
        <v>656</v>
      </c>
      <c r="B809" s="6">
        <v>45203</v>
      </c>
      <c r="C809" s="5" t="s">
        <v>831</v>
      </c>
      <c r="D809" s="5" t="s">
        <v>2</v>
      </c>
      <c r="E809">
        <v>29</v>
      </c>
      <c r="F809" s="5" t="s">
        <v>717</v>
      </c>
      <c r="G809">
        <v>3</v>
      </c>
      <c r="H809" s="11">
        <v>30</v>
      </c>
      <c r="I809" s="11">
        <v>90</v>
      </c>
      <c r="J809" t="s">
        <v>22</v>
      </c>
      <c r="K809" t="s">
        <v>1029</v>
      </c>
      <c r="L809" t="s">
        <v>1038</v>
      </c>
      <c r="M809" t="s">
        <v>1047</v>
      </c>
      <c r="N809">
        <v>10</v>
      </c>
      <c r="O809" t="s">
        <v>1049</v>
      </c>
    </row>
    <row r="810" spans="1:15" x14ac:dyDescent="0.25">
      <c r="A810">
        <v>669</v>
      </c>
      <c r="B810" s="6">
        <v>45096</v>
      </c>
      <c r="C810" s="5" t="s">
        <v>832</v>
      </c>
      <c r="D810" s="5" t="s">
        <v>2</v>
      </c>
      <c r="E810">
        <v>24</v>
      </c>
      <c r="F810" s="5" t="s">
        <v>717</v>
      </c>
      <c r="G810">
        <v>4</v>
      </c>
      <c r="H810" s="11">
        <v>300</v>
      </c>
      <c r="I810" s="11">
        <v>1200</v>
      </c>
      <c r="J810" t="s">
        <v>22</v>
      </c>
      <c r="K810" t="s">
        <v>1029</v>
      </c>
      <c r="L810" t="s">
        <v>1038</v>
      </c>
      <c r="M810" t="s">
        <v>1041</v>
      </c>
      <c r="N810">
        <v>6</v>
      </c>
      <c r="O810" t="s">
        <v>1050</v>
      </c>
    </row>
    <row r="811" spans="1:15" x14ac:dyDescent="0.25">
      <c r="A811">
        <v>670</v>
      </c>
      <c r="B811" s="6">
        <v>45204</v>
      </c>
      <c r="C811" s="5" t="s">
        <v>833</v>
      </c>
      <c r="D811" s="5" t="s">
        <v>2</v>
      </c>
      <c r="E811">
        <v>27</v>
      </c>
      <c r="F811" s="5" t="s">
        <v>717</v>
      </c>
      <c r="G811">
        <v>1</v>
      </c>
      <c r="H811" s="11">
        <v>30</v>
      </c>
      <c r="I811" s="11">
        <v>30</v>
      </c>
      <c r="J811" t="s">
        <v>22</v>
      </c>
      <c r="K811" t="s">
        <v>1029</v>
      </c>
      <c r="L811" t="s">
        <v>1038</v>
      </c>
      <c r="M811" t="s">
        <v>1047</v>
      </c>
      <c r="N811">
        <v>10</v>
      </c>
      <c r="O811" t="s">
        <v>1049</v>
      </c>
    </row>
    <row r="812" spans="1:15" x14ac:dyDescent="0.25">
      <c r="A812">
        <v>679</v>
      </c>
      <c r="B812" s="6">
        <v>44937</v>
      </c>
      <c r="C812" s="5" t="s">
        <v>834</v>
      </c>
      <c r="D812" s="5" t="s">
        <v>1</v>
      </c>
      <c r="E812">
        <v>18</v>
      </c>
      <c r="F812" s="5" t="s">
        <v>717</v>
      </c>
      <c r="G812">
        <v>3</v>
      </c>
      <c r="H812" s="11">
        <v>30</v>
      </c>
      <c r="I812" s="11">
        <v>90</v>
      </c>
      <c r="J812" t="s">
        <v>22</v>
      </c>
      <c r="K812" t="s">
        <v>1029</v>
      </c>
      <c r="L812" t="s">
        <v>1038</v>
      </c>
      <c r="M812" t="s">
        <v>1039</v>
      </c>
      <c r="N812">
        <v>1</v>
      </c>
      <c r="O812" t="s">
        <v>1045</v>
      </c>
    </row>
    <row r="813" spans="1:15" x14ac:dyDescent="0.25">
      <c r="A813">
        <v>682</v>
      </c>
      <c r="B813" s="6">
        <v>45171</v>
      </c>
      <c r="C813" s="5" t="s">
        <v>835</v>
      </c>
      <c r="D813" s="5" t="s">
        <v>2</v>
      </c>
      <c r="E813">
        <v>46</v>
      </c>
      <c r="F813" s="5" t="s">
        <v>717</v>
      </c>
      <c r="G813">
        <v>4</v>
      </c>
      <c r="H813" s="11">
        <v>300</v>
      </c>
      <c r="I813" s="11">
        <v>1200</v>
      </c>
      <c r="J813" t="s">
        <v>20</v>
      </c>
      <c r="K813" t="s">
        <v>1028</v>
      </c>
      <c r="L813" t="s">
        <v>1038</v>
      </c>
      <c r="M813" t="s">
        <v>1033</v>
      </c>
      <c r="N813">
        <v>9</v>
      </c>
      <c r="O813" t="s">
        <v>1043</v>
      </c>
    </row>
    <row r="814" spans="1:15" x14ac:dyDescent="0.25">
      <c r="A814">
        <v>701</v>
      </c>
      <c r="B814" s="6">
        <v>45274</v>
      </c>
      <c r="C814" s="5" t="s">
        <v>836</v>
      </c>
      <c r="D814" s="5" t="s">
        <v>1</v>
      </c>
      <c r="E814">
        <v>52</v>
      </c>
      <c r="F814" s="5" t="s">
        <v>717</v>
      </c>
      <c r="G814">
        <v>2</v>
      </c>
      <c r="H814" s="11">
        <v>30</v>
      </c>
      <c r="I814" s="11">
        <v>60</v>
      </c>
      <c r="J814" t="s">
        <v>20</v>
      </c>
      <c r="K814" t="s">
        <v>1028</v>
      </c>
      <c r="L814" t="s">
        <v>1038</v>
      </c>
      <c r="M814" t="s">
        <v>1047</v>
      </c>
      <c r="N814">
        <v>12</v>
      </c>
      <c r="O814" t="s">
        <v>1052</v>
      </c>
    </row>
    <row r="815" spans="1:15" x14ac:dyDescent="0.25">
      <c r="A815">
        <v>708</v>
      </c>
      <c r="B815" s="6">
        <v>44940</v>
      </c>
      <c r="C815" s="5" t="s">
        <v>837</v>
      </c>
      <c r="D815" s="5" t="s">
        <v>1</v>
      </c>
      <c r="E815">
        <v>43</v>
      </c>
      <c r="F815" s="5" t="s">
        <v>717</v>
      </c>
      <c r="G815">
        <v>3</v>
      </c>
      <c r="H815" s="11">
        <v>300</v>
      </c>
      <c r="I815" s="11">
        <v>900</v>
      </c>
      <c r="J815" t="s">
        <v>20</v>
      </c>
      <c r="K815" t="s">
        <v>1028</v>
      </c>
      <c r="L815" t="s">
        <v>1038</v>
      </c>
      <c r="M815" t="s">
        <v>1039</v>
      </c>
      <c r="N815">
        <v>1</v>
      </c>
      <c r="O815" t="s">
        <v>1045</v>
      </c>
    </row>
    <row r="816" spans="1:15" x14ac:dyDescent="0.25">
      <c r="A816">
        <v>712</v>
      </c>
      <c r="B816" s="6">
        <v>45266</v>
      </c>
      <c r="C816" s="5" t="s">
        <v>838</v>
      </c>
      <c r="D816" s="5" t="s">
        <v>1</v>
      </c>
      <c r="E816">
        <v>57</v>
      </c>
      <c r="F816" s="5" t="s">
        <v>717</v>
      </c>
      <c r="G816">
        <v>2</v>
      </c>
      <c r="H816" s="11">
        <v>25</v>
      </c>
      <c r="I816" s="11">
        <v>50</v>
      </c>
      <c r="J816" t="s">
        <v>24</v>
      </c>
      <c r="K816" t="s">
        <v>1030</v>
      </c>
      <c r="L816" t="s">
        <v>1038</v>
      </c>
      <c r="M816" t="s">
        <v>1047</v>
      </c>
      <c r="N816">
        <v>12</v>
      </c>
      <c r="O816" t="s">
        <v>1052</v>
      </c>
    </row>
    <row r="817" spans="1:15" x14ac:dyDescent="0.25">
      <c r="A817">
        <v>713</v>
      </c>
      <c r="B817" s="6">
        <v>44940</v>
      </c>
      <c r="C817" s="5" t="s">
        <v>839</v>
      </c>
      <c r="D817" s="5" t="s">
        <v>2</v>
      </c>
      <c r="E817">
        <v>34</v>
      </c>
      <c r="F817" s="5" t="s">
        <v>717</v>
      </c>
      <c r="G817">
        <v>3</v>
      </c>
      <c r="H817" s="11">
        <v>25</v>
      </c>
      <c r="I817" s="11">
        <v>75</v>
      </c>
      <c r="J817" t="s">
        <v>20</v>
      </c>
      <c r="K817" t="s">
        <v>1028</v>
      </c>
      <c r="L817" t="s">
        <v>1038</v>
      </c>
      <c r="M817" t="s">
        <v>1039</v>
      </c>
      <c r="N817">
        <v>1</v>
      </c>
      <c r="O817" t="s">
        <v>1045</v>
      </c>
    </row>
    <row r="818" spans="1:15" x14ac:dyDescent="0.25">
      <c r="A818">
        <v>715</v>
      </c>
      <c r="B818" s="6">
        <v>45256</v>
      </c>
      <c r="C818" s="5" t="s">
        <v>840</v>
      </c>
      <c r="D818" s="5" t="s">
        <v>1</v>
      </c>
      <c r="E818">
        <v>42</v>
      </c>
      <c r="F818" s="5" t="s">
        <v>717</v>
      </c>
      <c r="G818">
        <v>4</v>
      </c>
      <c r="H818" s="11">
        <v>25</v>
      </c>
      <c r="I818" s="11">
        <v>100</v>
      </c>
      <c r="J818" t="s">
        <v>20</v>
      </c>
      <c r="K818" t="s">
        <v>1028</v>
      </c>
      <c r="L818" t="s">
        <v>1038</v>
      </c>
      <c r="M818" t="s">
        <v>1047</v>
      </c>
      <c r="N818">
        <v>11</v>
      </c>
      <c r="O818" t="s">
        <v>1048</v>
      </c>
    </row>
    <row r="819" spans="1:15" x14ac:dyDescent="0.25">
      <c r="A819">
        <v>718</v>
      </c>
      <c r="B819" s="6">
        <v>45163</v>
      </c>
      <c r="C819" s="5" t="s">
        <v>841</v>
      </c>
      <c r="D819" s="5" t="s">
        <v>1</v>
      </c>
      <c r="E819">
        <v>59</v>
      </c>
      <c r="F819" s="5" t="s">
        <v>717</v>
      </c>
      <c r="G819">
        <v>3</v>
      </c>
      <c r="H819" s="11">
        <v>25</v>
      </c>
      <c r="I819" s="11">
        <v>75</v>
      </c>
      <c r="J819" t="s">
        <v>24</v>
      </c>
      <c r="K819" t="s">
        <v>1030</v>
      </c>
      <c r="L819" t="s">
        <v>1038</v>
      </c>
      <c r="M819" t="s">
        <v>1033</v>
      </c>
      <c r="N819">
        <v>8</v>
      </c>
      <c r="O819" t="s">
        <v>1051</v>
      </c>
    </row>
    <row r="820" spans="1:15" x14ac:dyDescent="0.25">
      <c r="A820">
        <v>722</v>
      </c>
      <c r="B820" s="6">
        <v>45121</v>
      </c>
      <c r="C820" s="5" t="s">
        <v>842</v>
      </c>
      <c r="D820" s="5" t="s">
        <v>2</v>
      </c>
      <c r="E820">
        <v>20</v>
      </c>
      <c r="F820" s="5" t="s">
        <v>717</v>
      </c>
      <c r="G820">
        <v>3</v>
      </c>
      <c r="H820" s="11">
        <v>300</v>
      </c>
      <c r="I820" s="11">
        <v>900</v>
      </c>
      <c r="J820" t="s">
        <v>22</v>
      </c>
      <c r="K820" t="s">
        <v>1029</v>
      </c>
      <c r="L820" t="s">
        <v>1038</v>
      </c>
      <c r="M820" t="s">
        <v>1033</v>
      </c>
      <c r="N820">
        <v>7</v>
      </c>
      <c r="O820" t="s">
        <v>1046</v>
      </c>
    </row>
    <row r="821" spans="1:15" x14ac:dyDescent="0.25">
      <c r="A821">
        <v>727</v>
      </c>
      <c r="B821" s="6">
        <v>45099</v>
      </c>
      <c r="C821" s="5" t="s">
        <v>843</v>
      </c>
      <c r="D821" s="5" t="s">
        <v>2</v>
      </c>
      <c r="E821">
        <v>55</v>
      </c>
      <c r="F821" s="5" t="s">
        <v>717</v>
      </c>
      <c r="G821">
        <v>3</v>
      </c>
      <c r="H821" s="11">
        <v>300</v>
      </c>
      <c r="I821" s="11">
        <v>900</v>
      </c>
      <c r="J821" t="s">
        <v>20</v>
      </c>
      <c r="K821" t="s">
        <v>1028</v>
      </c>
      <c r="L821" t="s">
        <v>1038</v>
      </c>
      <c r="M821" t="s">
        <v>1041</v>
      </c>
      <c r="N821">
        <v>6</v>
      </c>
      <c r="O821" t="s">
        <v>1050</v>
      </c>
    </row>
    <row r="822" spans="1:15" x14ac:dyDescent="0.25">
      <c r="A822">
        <v>733</v>
      </c>
      <c r="B822" s="6">
        <v>45167</v>
      </c>
      <c r="C822" s="5" t="s">
        <v>844</v>
      </c>
      <c r="D822" s="5" t="s">
        <v>2</v>
      </c>
      <c r="E822">
        <v>34</v>
      </c>
      <c r="F822" s="5" t="s">
        <v>717</v>
      </c>
      <c r="G822">
        <v>1</v>
      </c>
      <c r="H822" s="11">
        <v>30</v>
      </c>
      <c r="I822" s="11">
        <v>30</v>
      </c>
      <c r="J822" t="s">
        <v>20</v>
      </c>
      <c r="K822" t="s">
        <v>1028</v>
      </c>
      <c r="L822" t="s">
        <v>1038</v>
      </c>
      <c r="M822" t="s">
        <v>1033</v>
      </c>
      <c r="N822">
        <v>8</v>
      </c>
      <c r="O822" t="s">
        <v>1051</v>
      </c>
    </row>
    <row r="823" spans="1:15" x14ac:dyDescent="0.25">
      <c r="A823">
        <v>739</v>
      </c>
      <c r="B823" s="6">
        <v>45259</v>
      </c>
      <c r="C823" s="5" t="s">
        <v>845</v>
      </c>
      <c r="D823" s="5" t="s">
        <v>2</v>
      </c>
      <c r="E823">
        <v>36</v>
      </c>
      <c r="F823" s="5" t="s">
        <v>717</v>
      </c>
      <c r="G823">
        <v>1</v>
      </c>
      <c r="H823" s="11">
        <v>25</v>
      </c>
      <c r="I823" s="11">
        <v>25</v>
      </c>
      <c r="J823" t="s">
        <v>20</v>
      </c>
      <c r="K823" t="s">
        <v>1028</v>
      </c>
      <c r="L823" t="s">
        <v>1038</v>
      </c>
      <c r="M823" t="s">
        <v>1047</v>
      </c>
      <c r="N823">
        <v>11</v>
      </c>
      <c r="O823" t="s">
        <v>1048</v>
      </c>
    </row>
    <row r="824" spans="1:15" x14ac:dyDescent="0.25">
      <c r="A824">
        <v>747</v>
      </c>
      <c r="B824" s="6">
        <v>45245</v>
      </c>
      <c r="C824" s="5" t="s">
        <v>846</v>
      </c>
      <c r="D824" s="5" t="s">
        <v>2</v>
      </c>
      <c r="E824">
        <v>23</v>
      </c>
      <c r="F824" s="5" t="s">
        <v>717</v>
      </c>
      <c r="G824">
        <v>1</v>
      </c>
      <c r="H824" s="11">
        <v>30</v>
      </c>
      <c r="I824" s="11">
        <v>30</v>
      </c>
      <c r="J824" t="s">
        <v>22</v>
      </c>
      <c r="K824" t="s">
        <v>1029</v>
      </c>
      <c r="L824" t="s">
        <v>1038</v>
      </c>
      <c r="M824" t="s">
        <v>1047</v>
      </c>
      <c r="N824">
        <v>11</v>
      </c>
      <c r="O824" t="s">
        <v>1048</v>
      </c>
    </row>
    <row r="825" spans="1:15" x14ac:dyDescent="0.25">
      <c r="A825">
        <v>749</v>
      </c>
      <c r="B825" s="6">
        <v>45049</v>
      </c>
      <c r="C825" s="5" t="s">
        <v>847</v>
      </c>
      <c r="D825" s="5" t="s">
        <v>2</v>
      </c>
      <c r="E825">
        <v>42</v>
      </c>
      <c r="F825" s="5" t="s">
        <v>717</v>
      </c>
      <c r="G825">
        <v>1</v>
      </c>
      <c r="H825" s="11">
        <v>30</v>
      </c>
      <c r="I825" s="11">
        <v>30</v>
      </c>
      <c r="J825" t="s">
        <v>20</v>
      </c>
      <c r="K825" t="s">
        <v>1028</v>
      </c>
      <c r="L825" t="s">
        <v>1038</v>
      </c>
      <c r="M825" t="s">
        <v>1041</v>
      </c>
      <c r="N825">
        <v>5</v>
      </c>
      <c r="O825" t="s">
        <v>1032</v>
      </c>
    </row>
    <row r="826" spans="1:15" x14ac:dyDescent="0.25">
      <c r="A826">
        <v>767</v>
      </c>
      <c r="B826" s="6">
        <v>45223</v>
      </c>
      <c r="C826" s="5" t="s">
        <v>848</v>
      </c>
      <c r="D826" s="5" t="s">
        <v>2</v>
      </c>
      <c r="E826">
        <v>39</v>
      </c>
      <c r="F826" s="5" t="s">
        <v>717</v>
      </c>
      <c r="G826">
        <v>3</v>
      </c>
      <c r="H826" s="11">
        <v>25</v>
      </c>
      <c r="I826" s="11">
        <v>75</v>
      </c>
      <c r="J826" t="s">
        <v>20</v>
      </c>
      <c r="K826" t="s">
        <v>1028</v>
      </c>
      <c r="L826" t="s">
        <v>1038</v>
      </c>
      <c r="M826" t="s">
        <v>1047</v>
      </c>
      <c r="N826">
        <v>10</v>
      </c>
      <c r="O826" t="s">
        <v>1049</v>
      </c>
    </row>
    <row r="827" spans="1:15" x14ac:dyDescent="0.25">
      <c r="A827">
        <v>768</v>
      </c>
      <c r="B827" s="6">
        <v>44940</v>
      </c>
      <c r="C827" s="5" t="s">
        <v>849</v>
      </c>
      <c r="D827" s="5" t="s">
        <v>1</v>
      </c>
      <c r="E827">
        <v>24</v>
      </c>
      <c r="F827" s="5" t="s">
        <v>717</v>
      </c>
      <c r="G827">
        <v>3</v>
      </c>
      <c r="H827" s="11">
        <v>25</v>
      </c>
      <c r="I827" s="11">
        <v>75</v>
      </c>
      <c r="J827" t="s">
        <v>22</v>
      </c>
      <c r="K827" t="s">
        <v>1029</v>
      </c>
      <c r="L827" t="s">
        <v>1038</v>
      </c>
      <c r="M827" t="s">
        <v>1039</v>
      </c>
      <c r="N827">
        <v>1</v>
      </c>
      <c r="O827" t="s">
        <v>1045</v>
      </c>
    </row>
    <row r="828" spans="1:15" x14ac:dyDescent="0.25">
      <c r="A828">
        <v>778</v>
      </c>
      <c r="B828" s="6">
        <v>45248</v>
      </c>
      <c r="C828" s="5" t="s">
        <v>850</v>
      </c>
      <c r="D828" s="5" t="s">
        <v>1</v>
      </c>
      <c r="E828">
        <v>47</v>
      </c>
      <c r="F828" s="5" t="s">
        <v>717</v>
      </c>
      <c r="G828">
        <v>4</v>
      </c>
      <c r="H828" s="11">
        <v>25</v>
      </c>
      <c r="I828" s="11">
        <v>100</v>
      </c>
      <c r="J828" t="s">
        <v>20</v>
      </c>
      <c r="K828" t="s">
        <v>1028</v>
      </c>
      <c r="L828" t="s">
        <v>1038</v>
      </c>
      <c r="M828" t="s">
        <v>1047</v>
      </c>
      <c r="N828">
        <v>11</v>
      </c>
      <c r="O828" t="s">
        <v>1048</v>
      </c>
    </row>
    <row r="829" spans="1:15" x14ac:dyDescent="0.25">
      <c r="A829">
        <v>788</v>
      </c>
      <c r="B829" s="6">
        <v>45104</v>
      </c>
      <c r="C829" s="5" t="s">
        <v>851</v>
      </c>
      <c r="D829" s="5" t="s">
        <v>1</v>
      </c>
      <c r="E829">
        <v>52</v>
      </c>
      <c r="F829" s="5" t="s">
        <v>717</v>
      </c>
      <c r="G829">
        <v>3</v>
      </c>
      <c r="H829" s="11">
        <v>300</v>
      </c>
      <c r="I829" s="11">
        <v>900</v>
      </c>
      <c r="J829" t="s">
        <v>20</v>
      </c>
      <c r="K829" t="s">
        <v>1028</v>
      </c>
      <c r="L829" t="s">
        <v>1038</v>
      </c>
      <c r="M829" t="s">
        <v>1041</v>
      </c>
      <c r="N829">
        <v>6</v>
      </c>
      <c r="O829" t="s">
        <v>1050</v>
      </c>
    </row>
    <row r="830" spans="1:15" x14ac:dyDescent="0.25">
      <c r="A830">
        <v>791</v>
      </c>
      <c r="B830" s="6">
        <v>45265</v>
      </c>
      <c r="C830" s="5" t="s">
        <v>852</v>
      </c>
      <c r="D830" s="5" t="s">
        <v>1</v>
      </c>
      <c r="E830">
        <v>51</v>
      </c>
      <c r="F830" s="5" t="s">
        <v>717</v>
      </c>
      <c r="G830">
        <v>1</v>
      </c>
      <c r="H830" s="11">
        <v>25</v>
      </c>
      <c r="I830" s="11">
        <v>25</v>
      </c>
      <c r="J830" t="s">
        <v>20</v>
      </c>
      <c r="K830" t="s">
        <v>1028</v>
      </c>
      <c r="L830" t="s">
        <v>1038</v>
      </c>
      <c r="M830" t="s">
        <v>1047</v>
      </c>
      <c r="N830">
        <v>12</v>
      </c>
      <c r="O830" t="s">
        <v>1052</v>
      </c>
    </row>
    <row r="831" spans="1:15" x14ac:dyDescent="0.25">
      <c r="A831">
        <v>793</v>
      </c>
      <c r="B831" s="6">
        <v>44962</v>
      </c>
      <c r="C831" s="5" t="s">
        <v>853</v>
      </c>
      <c r="D831" s="5" t="s">
        <v>2</v>
      </c>
      <c r="E831">
        <v>54</v>
      </c>
      <c r="F831" s="5" t="s">
        <v>717</v>
      </c>
      <c r="G831">
        <v>1</v>
      </c>
      <c r="H831" s="11">
        <v>30</v>
      </c>
      <c r="I831" s="11">
        <v>30</v>
      </c>
      <c r="J831" t="s">
        <v>20</v>
      </c>
      <c r="K831" t="s">
        <v>1028</v>
      </c>
      <c r="L831" t="s">
        <v>1038</v>
      </c>
      <c r="M831" t="s">
        <v>1039</v>
      </c>
      <c r="N831">
        <v>2</v>
      </c>
      <c r="O831" t="s">
        <v>1044</v>
      </c>
    </row>
    <row r="832" spans="1:15" x14ac:dyDescent="0.25">
      <c r="A832">
        <v>794</v>
      </c>
      <c r="B832" s="6">
        <v>45186</v>
      </c>
      <c r="C832" s="5" t="s">
        <v>854</v>
      </c>
      <c r="D832" s="5" t="s">
        <v>1</v>
      </c>
      <c r="E832">
        <v>60</v>
      </c>
      <c r="F832" s="5" t="s">
        <v>717</v>
      </c>
      <c r="G832">
        <v>1</v>
      </c>
      <c r="H832" s="11">
        <v>300</v>
      </c>
      <c r="I832" s="11">
        <v>300</v>
      </c>
      <c r="J832" t="s">
        <v>24</v>
      </c>
      <c r="K832" t="s">
        <v>1030</v>
      </c>
      <c r="L832" t="s">
        <v>1038</v>
      </c>
      <c r="M832" t="s">
        <v>1033</v>
      </c>
      <c r="N832">
        <v>9</v>
      </c>
      <c r="O832" t="s">
        <v>1043</v>
      </c>
    </row>
    <row r="833" spans="1:15" x14ac:dyDescent="0.25">
      <c r="A833">
        <v>796</v>
      </c>
      <c r="B833" s="6">
        <v>45101</v>
      </c>
      <c r="C833" s="5" t="s">
        <v>855</v>
      </c>
      <c r="D833" s="5" t="s">
        <v>2</v>
      </c>
      <c r="E833">
        <v>43</v>
      </c>
      <c r="F833" s="5" t="s">
        <v>717</v>
      </c>
      <c r="G833">
        <v>4</v>
      </c>
      <c r="H833" s="11">
        <v>30</v>
      </c>
      <c r="I833" s="11">
        <v>120</v>
      </c>
      <c r="J833" t="s">
        <v>20</v>
      </c>
      <c r="K833" t="s">
        <v>1028</v>
      </c>
      <c r="L833" t="s">
        <v>1038</v>
      </c>
      <c r="M833" t="s">
        <v>1041</v>
      </c>
      <c r="N833">
        <v>6</v>
      </c>
      <c r="O833" t="s">
        <v>1050</v>
      </c>
    </row>
    <row r="834" spans="1:15" x14ac:dyDescent="0.25">
      <c r="A834">
        <v>802</v>
      </c>
      <c r="B834" s="6">
        <v>45112</v>
      </c>
      <c r="C834" s="5" t="s">
        <v>856</v>
      </c>
      <c r="D834" s="5" t="s">
        <v>1</v>
      </c>
      <c r="E834">
        <v>46</v>
      </c>
      <c r="F834" s="5" t="s">
        <v>717</v>
      </c>
      <c r="G834">
        <v>1</v>
      </c>
      <c r="H834" s="11">
        <v>30</v>
      </c>
      <c r="I834" s="11">
        <v>30</v>
      </c>
      <c r="J834" t="s">
        <v>20</v>
      </c>
      <c r="K834" t="s">
        <v>1028</v>
      </c>
      <c r="L834" t="s">
        <v>1038</v>
      </c>
      <c r="M834" t="s">
        <v>1033</v>
      </c>
      <c r="N834">
        <v>7</v>
      </c>
      <c r="O834" t="s">
        <v>1046</v>
      </c>
    </row>
    <row r="835" spans="1:15" x14ac:dyDescent="0.25">
      <c r="A835">
        <v>806</v>
      </c>
      <c r="B835" s="6">
        <v>45005</v>
      </c>
      <c r="C835" s="5" t="s">
        <v>857</v>
      </c>
      <c r="D835" s="5" t="s">
        <v>1</v>
      </c>
      <c r="E835">
        <v>35</v>
      </c>
      <c r="F835" s="5" t="s">
        <v>717</v>
      </c>
      <c r="G835">
        <v>3</v>
      </c>
      <c r="H835" s="11">
        <v>300</v>
      </c>
      <c r="I835" s="11">
        <v>900</v>
      </c>
      <c r="J835" t="s">
        <v>20</v>
      </c>
      <c r="K835" t="s">
        <v>1028</v>
      </c>
      <c r="L835" t="s">
        <v>1038</v>
      </c>
      <c r="M835" t="s">
        <v>1039</v>
      </c>
      <c r="N835">
        <v>3</v>
      </c>
      <c r="O835" t="s">
        <v>1040</v>
      </c>
    </row>
    <row r="836" spans="1:15" x14ac:dyDescent="0.25">
      <c r="A836">
        <v>811</v>
      </c>
      <c r="B836" s="6">
        <v>45065</v>
      </c>
      <c r="C836" s="5" t="s">
        <v>858</v>
      </c>
      <c r="D836" s="5" t="s">
        <v>2</v>
      </c>
      <c r="E836">
        <v>61</v>
      </c>
      <c r="F836" s="5" t="s">
        <v>717</v>
      </c>
      <c r="G836">
        <v>2</v>
      </c>
      <c r="H836" s="11">
        <v>25</v>
      </c>
      <c r="I836" s="11">
        <v>50</v>
      </c>
      <c r="J836" t="s">
        <v>24</v>
      </c>
      <c r="K836" t="s">
        <v>1030</v>
      </c>
      <c r="L836" t="s">
        <v>1038</v>
      </c>
      <c r="M836" t="s">
        <v>1041</v>
      </c>
      <c r="N836">
        <v>5</v>
      </c>
      <c r="O836" t="s">
        <v>1032</v>
      </c>
    </row>
    <row r="837" spans="1:15" x14ac:dyDescent="0.25">
      <c r="A837">
        <v>825</v>
      </c>
      <c r="B837" s="6">
        <v>45164</v>
      </c>
      <c r="C837" s="5" t="s">
        <v>859</v>
      </c>
      <c r="D837" s="5" t="s">
        <v>1</v>
      </c>
      <c r="E837">
        <v>46</v>
      </c>
      <c r="F837" s="5" t="s">
        <v>717</v>
      </c>
      <c r="G837">
        <v>1</v>
      </c>
      <c r="H837" s="11">
        <v>25</v>
      </c>
      <c r="I837" s="11">
        <v>25</v>
      </c>
      <c r="J837" t="s">
        <v>20</v>
      </c>
      <c r="K837" t="s">
        <v>1028</v>
      </c>
      <c r="L837" t="s">
        <v>1038</v>
      </c>
      <c r="M837" t="s">
        <v>1033</v>
      </c>
      <c r="N837">
        <v>8</v>
      </c>
      <c r="O837" t="s">
        <v>1051</v>
      </c>
    </row>
    <row r="838" spans="1:15" x14ac:dyDescent="0.25">
      <c r="A838">
        <v>827</v>
      </c>
      <c r="B838" s="6">
        <v>45239</v>
      </c>
      <c r="C838" s="5" t="s">
        <v>860</v>
      </c>
      <c r="D838" s="5" t="s">
        <v>2</v>
      </c>
      <c r="E838">
        <v>61</v>
      </c>
      <c r="F838" s="5" t="s">
        <v>717</v>
      </c>
      <c r="G838">
        <v>3</v>
      </c>
      <c r="H838" s="11">
        <v>300</v>
      </c>
      <c r="I838" s="11">
        <v>900</v>
      </c>
      <c r="J838" t="s">
        <v>24</v>
      </c>
      <c r="K838" t="s">
        <v>1030</v>
      </c>
      <c r="L838" t="s">
        <v>1038</v>
      </c>
      <c r="M838" t="s">
        <v>1047</v>
      </c>
      <c r="N838">
        <v>11</v>
      </c>
      <c r="O838" t="s">
        <v>1048</v>
      </c>
    </row>
    <row r="839" spans="1:15" x14ac:dyDescent="0.25">
      <c r="A839">
        <v>829</v>
      </c>
      <c r="B839" s="6">
        <v>45121</v>
      </c>
      <c r="C839" s="5" t="s">
        <v>861</v>
      </c>
      <c r="D839" s="5" t="s">
        <v>2</v>
      </c>
      <c r="E839">
        <v>61</v>
      </c>
      <c r="F839" s="5" t="s">
        <v>717</v>
      </c>
      <c r="G839">
        <v>3</v>
      </c>
      <c r="H839" s="11">
        <v>30</v>
      </c>
      <c r="I839" s="11">
        <v>90</v>
      </c>
      <c r="J839" t="s">
        <v>24</v>
      </c>
      <c r="K839" t="s">
        <v>1030</v>
      </c>
      <c r="L839" t="s">
        <v>1038</v>
      </c>
      <c r="M839" t="s">
        <v>1033</v>
      </c>
      <c r="N839">
        <v>7</v>
      </c>
      <c r="O839" t="s">
        <v>1046</v>
      </c>
    </row>
    <row r="840" spans="1:15" x14ac:dyDescent="0.25">
      <c r="A840">
        <v>834</v>
      </c>
      <c r="B840" s="6">
        <v>45020</v>
      </c>
      <c r="C840" s="5" t="s">
        <v>862</v>
      </c>
      <c r="D840" s="5" t="s">
        <v>1</v>
      </c>
      <c r="E840">
        <v>56</v>
      </c>
      <c r="F840" s="5" t="s">
        <v>717</v>
      </c>
      <c r="G840">
        <v>2</v>
      </c>
      <c r="H840" s="11">
        <v>30</v>
      </c>
      <c r="I840" s="11">
        <v>60</v>
      </c>
      <c r="J840" t="s">
        <v>24</v>
      </c>
      <c r="K840" t="s">
        <v>1030</v>
      </c>
      <c r="L840" t="s">
        <v>1038</v>
      </c>
      <c r="M840" t="s">
        <v>1041</v>
      </c>
      <c r="N840">
        <v>4</v>
      </c>
      <c r="O840" t="s">
        <v>1042</v>
      </c>
    </row>
    <row r="841" spans="1:15" x14ac:dyDescent="0.25">
      <c r="A841">
        <v>837</v>
      </c>
      <c r="B841" s="6">
        <v>45108</v>
      </c>
      <c r="C841" s="5" t="s">
        <v>863</v>
      </c>
      <c r="D841" s="5" t="s">
        <v>2</v>
      </c>
      <c r="E841">
        <v>18</v>
      </c>
      <c r="F841" s="5" t="s">
        <v>717</v>
      </c>
      <c r="G841">
        <v>3</v>
      </c>
      <c r="H841" s="11">
        <v>30</v>
      </c>
      <c r="I841" s="11">
        <v>90</v>
      </c>
      <c r="J841" t="s">
        <v>22</v>
      </c>
      <c r="K841" t="s">
        <v>1029</v>
      </c>
      <c r="L841" t="s">
        <v>1038</v>
      </c>
      <c r="M841" t="s">
        <v>1033</v>
      </c>
      <c r="N841">
        <v>7</v>
      </c>
      <c r="O841" t="s">
        <v>1046</v>
      </c>
    </row>
    <row r="842" spans="1:15" x14ac:dyDescent="0.25">
      <c r="A842">
        <v>855</v>
      </c>
      <c r="B842" s="6">
        <v>45170</v>
      </c>
      <c r="C842" s="5" t="s">
        <v>864</v>
      </c>
      <c r="D842" s="5" t="s">
        <v>2</v>
      </c>
      <c r="E842">
        <v>54</v>
      </c>
      <c r="F842" s="5" t="s">
        <v>717</v>
      </c>
      <c r="G842">
        <v>1</v>
      </c>
      <c r="H842" s="11">
        <v>25</v>
      </c>
      <c r="I842" s="11">
        <v>25</v>
      </c>
      <c r="J842" t="s">
        <v>20</v>
      </c>
      <c r="K842" t="s">
        <v>1028</v>
      </c>
      <c r="L842" t="s">
        <v>1038</v>
      </c>
      <c r="M842" t="s">
        <v>1033</v>
      </c>
      <c r="N842">
        <v>9</v>
      </c>
      <c r="O842" t="s">
        <v>1043</v>
      </c>
    </row>
    <row r="843" spans="1:15" x14ac:dyDescent="0.25">
      <c r="A843">
        <v>871</v>
      </c>
      <c r="B843" s="6">
        <v>45169</v>
      </c>
      <c r="C843" s="5" t="s">
        <v>865</v>
      </c>
      <c r="D843" s="5" t="s">
        <v>2</v>
      </c>
      <c r="E843">
        <v>62</v>
      </c>
      <c r="F843" s="5" t="s">
        <v>717</v>
      </c>
      <c r="G843">
        <v>2</v>
      </c>
      <c r="H843" s="11">
        <v>30</v>
      </c>
      <c r="I843" s="11">
        <v>60</v>
      </c>
      <c r="J843" t="s">
        <v>24</v>
      </c>
      <c r="K843" t="s">
        <v>1030</v>
      </c>
      <c r="L843" t="s">
        <v>1038</v>
      </c>
      <c r="M843" t="s">
        <v>1033</v>
      </c>
      <c r="N843">
        <v>8</v>
      </c>
      <c r="O843" t="s">
        <v>1051</v>
      </c>
    </row>
    <row r="844" spans="1:15" x14ac:dyDescent="0.25">
      <c r="A844">
        <v>872</v>
      </c>
      <c r="B844" s="6">
        <v>45210</v>
      </c>
      <c r="C844" s="5" t="s">
        <v>866</v>
      </c>
      <c r="D844" s="5" t="s">
        <v>1</v>
      </c>
      <c r="E844">
        <v>63</v>
      </c>
      <c r="F844" s="5" t="s">
        <v>717</v>
      </c>
      <c r="G844">
        <v>3</v>
      </c>
      <c r="H844" s="11">
        <v>25</v>
      </c>
      <c r="I844" s="11">
        <v>75</v>
      </c>
      <c r="J844" t="s">
        <v>24</v>
      </c>
      <c r="K844" t="s">
        <v>1030</v>
      </c>
      <c r="L844" t="s">
        <v>1038</v>
      </c>
      <c r="M844" t="s">
        <v>1047</v>
      </c>
      <c r="N844">
        <v>10</v>
      </c>
      <c r="O844" t="s">
        <v>1049</v>
      </c>
    </row>
    <row r="845" spans="1:15" x14ac:dyDescent="0.25">
      <c r="A845">
        <v>874</v>
      </c>
      <c r="B845" s="6">
        <v>45103</v>
      </c>
      <c r="C845" s="5" t="s">
        <v>867</v>
      </c>
      <c r="D845" s="5" t="s">
        <v>2</v>
      </c>
      <c r="E845">
        <v>60</v>
      </c>
      <c r="F845" s="5" t="s">
        <v>717</v>
      </c>
      <c r="G845">
        <v>1</v>
      </c>
      <c r="H845" s="11">
        <v>30</v>
      </c>
      <c r="I845" s="11">
        <v>30</v>
      </c>
      <c r="J845" t="s">
        <v>24</v>
      </c>
      <c r="K845" t="s">
        <v>1030</v>
      </c>
      <c r="L845" t="s">
        <v>1038</v>
      </c>
      <c r="M845" t="s">
        <v>1041</v>
      </c>
      <c r="N845">
        <v>6</v>
      </c>
      <c r="O845" t="s">
        <v>1050</v>
      </c>
    </row>
    <row r="846" spans="1:15" x14ac:dyDescent="0.25">
      <c r="A846">
        <v>905</v>
      </c>
      <c r="B846" s="6">
        <v>45018</v>
      </c>
      <c r="C846" s="5" t="s">
        <v>868</v>
      </c>
      <c r="D846" s="5" t="s">
        <v>2</v>
      </c>
      <c r="E846">
        <v>58</v>
      </c>
      <c r="F846" s="5" t="s">
        <v>717</v>
      </c>
      <c r="G846">
        <v>1</v>
      </c>
      <c r="H846" s="11">
        <v>300</v>
      </c>
      <c r="I846" s="11">
        <v>300</v>
      </c>
      <c r="J846" t="s">
        <v>24</v>
      </c>
      <c r="K846" t="s">
        <v>1030</v>
      </c>
      <c r="L846" t="s">
        <v>1038</v>
      </c>
      <c r="M846" t="s">
        <v>1041</v>
      </c>
      <c r="N846">
        <v>4</v>
      </c>
      <c r="O846" t="s">
        <v>1042</v>
      </c>
    </row>
    <row r="847" spans="1:15" x14ac:dyDescent="0.25">
      <c r="A847">
        <v>908</v>
      </c>
      <c r="B847" s="6">
        <v>45289</v>
      </c>
      <c r="C847" s="5" t="s">
        <v>869</v>
      </c>
      <c r="D847" s="5" t="s">
        <v>2</v>
      </c>
      <c r="E847">
        <v>46</v>
      </c>
      <c r="F847" s="5" t="s">
        <v>717</v>
      </c>
      <c r="G847">
        <v>4</v>
      </c>
      <c r="H847" s="11">
        <v>300</v>
      </c>
      <c r="I847" s="11">
        <v>1200</v>
      </c>
      <c r="J847" t="s">
        <v>20</v>
      </c>
      <c r="K847" t="s">
        <v>1028</v>
      </c>
      <c r="L847" t="s">
        <v>1038</v>
      </c>
      <c r="M847" t="s">
        <v>1047</v>
      </c>
      <c r="N847">
        <v>12</v>
      </c>
      <c r="O847" t="s">
        <v>1052</v>
      </c>
    </row>
    <row r="848" spans="1:15" x14ac:dyDescent="0.25">
      <c r="A848">
        <v>915</v>
      </c>
      <c r="B848" s="6">
        <v>45076</v>
      </c>
      <c r="C848" s="5" t="s">
        <v>870</v>
      </c>
      <c r="D848" s="5" t="s">
        <v>1</v>
      </c>
      <c r="E848">
        <v>26</v>
      </c>
      <c r="F848" s="5" t="s">
        <v>717</v>
      </c>
      <c r="G848">
        <v>3</v>
      </c>
      <c r="H848" s="11">
        <v>30</v>
      </c>
      <c r="I848" s="11">
        <v>90</v>
      </c>
      <c r="J848" t="s">
        <v>22</v>
      </c>
      <c r="K848" t="s">
        <v>1029</v>
      </c>
      <c r="L848" t="s">
        <v>1038</v>
      </c>
      <c r="M848" t="s">
        <v>1041</v>
      </c>
      <c r="N848">
        <v>5</v>
      </c>
      <c r="O848" t="s">
        <v>1032</v>
      </c>
    </row>
    <row r="849" spans="1:15" x14ac:dyDescent="0.25">
      <c r="A849">
        <v>919</v>
      </c>
      <c r="B849" s="6">
        <v>45178</v>
      </c>
      <c r="C849" s="5" t="s">
        <v>871</v>
      </c>
      <c r="D849" s="5" t="s">
        <v>1</v>
      </c>
      <c r="E849">
        <v>22</v>
      </c>
      <c r="F849" s="5" t="s">
        <v>717</v>
      </c>
      <c r="G849">
        <v>2</v>
      </c>
      <c r="H849" s="11">
        <v>25</v>
      </c>
      <c r="I849" s="11">
        <v>50</v>
      </c>
      <c r="J849" t="s">
        <v>22</v>
      </c>
      <c r="K849" t="s">
        <v>1029</v>
      </c>
      <c r="L849" t="s">
        <v>1038</v>
      </c>
      <c r="M849" t="s">
        <v>1033</v>
      </c>
      <c r="N849">
        <v>9</v>
      </c>
      <c r="O849" t="s">
        <v>1043</v>
      </c>
    </row>
    <row r="850" spans="1:15" x14ac:dyDescent="0.25">
      <c r="A850">
        <v>920</v>
      </c>
      <c r="B850" s="6">
        <v>44979</v>
      </c>
      <c r="C850" s="5" t="s">
        <v>872</v>
      </c>
      <c r="D850" s="5" t="s">
        <v>1</v>
      </c>
      <c r="E850">
        <v>28</v>
      </c>
      <c r="F850" s="5" t="s">
        <v>717</v>
      </c>
      <c r="G850">
        <v>3</v>
      </c>
      <c r="H850" s="11">
        <v>25</v>
      </c>
      <c r="I850" s="11">
        <v>75</v>
      </c>
      <c r="J850" t="s">
        <v>22</v>
      </c>
      <c r="K850" t="s">
        <v>1029</v>
      </c>
      <c r="L850" t="s">
        <v>1038</v>
      </c>
      <c r="M850" t="s">
        <v>1039</v>
      </c>
      <c r="N850">
        <v>2</v>
      </c>
      <c r="O850" t="s">
        <v>1044</v>
      </c>
    </row>
    <row r="851" spans="1:15" x14ac:dyDescent="0.25">
      <c r="A851">
        <v>923</v>
      </c>
      <c r="B851" s="6">
        <v>45072</v>
      </c>
      <c r="C851" s="5" t="s">
        <v>873</v>
      </c>
      <c r="D851" s="5" t="s">
        <v>2</v>
      </c>
      <c r="E851">
        <v>32</v>
      </c>
      <c r="F851" s="5" t="s">
        <v>717</v>
      </c>
      <c r="G851">
        <v>3</v>
      </c>
      <c r="H851" s="11">
        <v>300</v>
      </c>
      <c r="I851" s="11">
        <v>900</v>
      </c>
      <c r="J851" t="s">
        <v>20</v>
      </c>
      <c r="K851" t="s">
        <v>1028</v>
      </c>
      <c r="L851" t="s">
        <v>1038</v>
      </c>
      <c r="M851" t="s">
        <v>1041</v>
      </c>
      <c r="N851">
        <v>5</v>
      </c>
      <c r="O851" t="s">
        <v>1032</v>
      </c>
    </row>
    <row r="852" spans="1:15" x14ac:dyDescent="0.25">
      <c r="A852">
        <v>929</v>
      </c>
      <c r="B852" s="6">
        <v>44953</v>
      </c>
      <c r="C852" s="5" t="s">
        <v>874</v>
      </c>
      <c r="D852" s="5" t="s">
        <v>1</v>
      </c>
      <c r="E852">
        <v>23</v>
      </c>
      <c r="F852" s="5" t="s">
        <v>717</v>
      </c>
      <c r="G852">
        <v>3</v>
      </c>
      <c r="H852" s="11">
        <v>25</v>
      </c>
      <c r="I852" s="11">
        <v>75</v>
      </c>
      <c r="J852" t="s">
        <v>22</v>
      </c>
      <c r="K852" t="s">
        <v>1029</v>
      </c>
      <c r="L852" t="s">
        <v>1038</v>
      </c>
      <c r="M852" t="s">
        <v>1039</v>
      </c>
      <c r="N852">
        <v>1</v>
      </c>
      <c r="O852" t="s">
        <v>1045</v>
      </c>
    </row>
    <row r="853" spans="1:15" x14ac:dyDescent="0.25">
      <c r="A853">
        <v>931</v>
      </c>
      <c r="B853" s="6">
        <v>45171</v>
      </c>
      <c r="C853" s="5" t="s">
        <v>875</v>
      </c>
      <c r="D853" s="5" t="s">
        <v>2</v>
      </c>
      <c r="E853">
        <v>30</v>
      </c>
      <c r="F853" s="5" t="s">
        <v>717</v>
      </c>
      <c r="G853">
        <v>4</v>
      </c>
      <c r="H853" s="11">
        <v>30</v>
      </c>
      <c r="I853" s="11">
        <v>120</v>
      </c>
      <c r="J853" t="s">
        <v>20</v>
      </c>
      <c r="K853" t="s">
        <v>1028</v>
      </c>
      <c r="L853" t="s">
        <v>1038</v>
      </c>
      <c r="M853" t="s">
        <v>1033</v>
      </c>
      <c r="N853">
        <v>9</v>
      </c>
      <c r="O853" t="s">
        <v>1043</v>
      </c>
    </row>
    <row r="854" spans="1:15" x14ac:dyDescent="0.25">
      <c r="A854">
        <v>932</v>
      </c>
      <c r="B854" s="6">
        <v>44985</v>
      </c>
      <c r="C854" s="5" t="s">
        <v>876</v>
      </c>
      <c r="D854" s="5" t="s">
        <v>1</v>
      </c>
      <c r="E854">
        <v>45</v>
      </c>
      <c r="F854" s="5" t="s">
        <v>717</v>
      </c>
      <c r="G854">
        <v>4</v>
      </c>
      <c r="H854" s="11">
        <v>25</v>
      </c>
      <c r="I854" s="11">
        <v>100</v>
      </c>
      <c r="J854" t="s">
        <v>20</v>
      </c>
      <c r="K854" t="s">
        <v>1028</v>
      </c>
      <c r="L854" t="s">
        <v>1038</v>
      </c>
      <c r="M854" t="s">
        <v>1039</v>
      </c>
      <c r="N854">
        <v>2</v>
      </c>
      <c r="O854" t="s">
        <v>1044</v>
      </c>
    </row>
    <row r="855" spans="1:15" x14ac:dyDescent="0.25">
      <c r="A855">
        <v>933</v>
      </c>
      <c r="B855" s="6">
        <v>44960</v>
      </c>
      <c r="C855" s="5" t="s">
        <v>877</v>
      </c>
      <c r="D855" s="5" t="s">
        <v>2</v>
      </c>
      <c r="E855">
        <v>22</v>
      </c>
      <c r="F855" s="5" t="s">
        <v>717</v>
      </c>
      <c r="G855">
        <v>1</v>
      </c>
      <c r="H855" s="11">
        <v>30</v>
      </c>
      <c r="I855" s="11">
        <v>30</v>
      </c>
      <c r="J855" t="s">
        <v>22</v>
      </c>
      <c r="K855" t="s">
        <v>1029</v>
      </c>
      <c r="L855" t="s">
        <v>1038</v>
      </c>
      <c r="M855" t="s">
        <v>1039</v>
      </c>
      <c r="N855">
        <v>2</v>
      </c>
      <c r="O855" t="s">
        <v>1044</v>
      </c>
    </row>
    <row r="856" spans="1:15" x14ac:dyDescent="0.25">
      <c r="A856">
        <v>945</v>
      </c>
      <c r="B856" s="6">
        <v>44970</v>
      </c>
      <c r="C856" s="5" t="s">
        <v>878</v>
      </c>
      <c r="D856" s="5" t="s">
        <v>2</v>
      </c>
      <c r="E856">
        <v>30</v>
      </c>
      <c r="F856" s="5" t="s">
        <v>717</v>
      </c>
      <c r="G856">
        <v>1</v>
      </c>
      <c r="H856" s="11">
        <v>25</v>
      </c>
      <c r="I856" s="11">
        <v>25</v>
      </c>
      <c r="J856" t="s">
        <v>20</v>
      </c>
      <c r="K856" t="s">
        <v>1028</v>
      </c>
      <c r="L856" t="s">
        <v>1038</v>
      </c>
      <c r="M856" t="s">
        <v>1039</v>
      </c>
      <c r="N856">
        <v>2</v>
      </c>
      <c r="O856" t="s">
        <v>1044</v>
      </c>
    </row>
    <row r="857" spans="1:15" x14ac:dyDescent="0.25">
      <c r="A857">
        <v>947</v>
      </c>
      <c r="B857" s="6">
        <v>44987</v>
      </c>
      <c r="C857" s="5" t="s">
        <v>879</v>
      </c>
      <c r="D857" s="5" t="s">
        <v>2</v>
      </c>
      <c r="E857">
        <v>50</v>
      </c>
      <c r="F857" s="5" t="s">
        <v>717</v>
      </c>
      <c r="G857">
        <v>1</v>
      </c>
      <c r="H857" s="11">
        <v>300</v>
      </c>
      <c r="I857" s="11">
        <v>300</v>
      </c>
      <c r="J857" t="s">
        <v>20</v>
      </c>
      <c r="K857" t="s">
        <v>1028</v>
      </c>
      <c r="L857" t="s">
        <v>1038</v>
      </c>
      <c r="M857" t="s">
        <v>1039</v>
      </c>
      <c r="N857">
        <v>3</v>
      </c>
      <c r="O857" t="s">
        <v>1040</v>
      </c>
    </row>
    <row r="858" spans="1:15" x14ac:dyDescent="0.25">
      <c r="A858">
        <v>953</v>
      </c>
      <c r="B858" s="6">
        <v>45042</v>
      </c>
      <c r="C858" s="5" t="s">
        <v>880</v>
      </c>
      <c r="D858" s="5" t="s">
        <v>2</v>
      </c>
      <c r="E858">
        <v>45</v>
      </c>
      <c r="F858" s="5" t="s">
        <v>717</v>
      </c>
      <c r="G858">
        <v>3</v>
      </c>
      <c r="H858" s="11">
        <v>30</v>
      </c>
      <c r="I858" s="11">
        <v>90</v>
      </c>
      <c r="J858" t="s">
        <v>20</v>
      </c>
      <c r="K858" t="s">
        <v>1028</v>
      </c>
      <c r="L858" t="s">
        <v>1038</v>
      </c>
      <c r="M858" t="s">
        <v>1041</v>
      </c>
      <c r="N858">
        <v>4</v>
      </c>
      <c r="O858" t="s">
        <v>1042</v>
      </c>
    </row>
    <row r="859" spans="1:15" x14ac:dyDescent="0.25">
      <c r="A859">
        <v>967</v>
      </c>
      <c r="B859" s="6">
        <v>45033</v>
      </c>
      <c r="C859" s="5" t="s">
        <v>881</v>
      </c>
      <c r="D859" s="5" t="s">
        <v>2</v>
      </c>
      <c r="E859">
        <v>62</v>
      </c>
      <c r="F859" s="5" t="s">
        <v>717</v>
      </c>
      <c r="G859">
        <v>1</v>
      </c>
      <c r="H859" s="11">
        <v>25</v>
      </c>
      <c r="I859" s="11">
        <v>25</v>
      </c>
      <c r="J859" t="s">
        <v>24</v>
      </c>
      <c r="K859" t="s">
        <v>1030</v>
      </c>
      <c r="L859" t="s">
        <v>1038</v>
      </c>
      <c r="M859" t="s">
        <v>1041</v>
      </c>
      <c r="N859">
        <v>4</v>
      </c>
      <c r="O859" t="s">
        <v>1042</v>
      </c>
    </row>
    <row r="860" spans="1:15" x14ac:dyDescent="0.25">
      <c r="A860">
        <v>972</v>
      </c>
      <c r="B860" s="6">
        <v>44968</v>
      </c>
      <c r="C860" s="5" t="s">
        <v>882</v>
      </c>
      <c r="D860" s="5" t="s">
        <v>2</v>
      </c>
      <c r="E860">
        <v>49</v>
      </c>
      <c r="F860" s="5" t="s">
        <v>717</v>
      </c>
      <c r="G860">
        <v>4</v>
      </c>
      <c r="H860" s="11">
        <v>25</v>
      </c>
      <c r="I860" s="11">
        <v>100</v>
      </c>
      <c r="J860" t="s">
        <v>20</v>
      </c>
      <c r="K860" t="s">
        <v>1028</v>
      </c>
      <c r="L860" t="s">
        <v>1038</v>
      </c>
      <c r="M860" t="s">
        <v>1039</v>
      </c>
      <c r="N860">
        <v>2</v>
      </c>
      <c r="O860" t="s">
        <v>1044</v>
      </c>
    </row>
    <row r="861" spans="1:15" x14ac:dyDescent="0.25">
      <c r="A861">
        <v>974</v>
      </c>
      <c r="B861" s="6">
        <v>45049</v>
      </c>
      <c r="C861" s="5" t="s">
        <v>883</v>
      </c>
      <c r="D861" s="5" t="s">
        <v>2</v>
      </c>
      <c r="E861">
        <v>47</v>
      </c>
      <c r="F861" s="5" t="s">
        <v>717</v>
      </c>
      <c r="G861">
        <v>1</v>
      </c>
      <c r="H861" s="11">
        <v>30</v>
      </c>
      <c r="I861" s="11">
        <v>30</v>
      </c>
      <c r="J861" t="s">
        <v>20</v>
      </c>
      <c r="K861" t="s">
        <v>1028</v>
      </c>
      <c r="L861" t="s">
        <v>1038</v>
      </c>
      <c r="M861" t="s">
        <v>1041</v>
      </c>
      <c r="N861">
        <v>5</v>
      </c>
      <c r="O861" t="s">
        <v>1032</v>
      </c>
    </row>
    <row r="862" spans="1:15" x14ac:dyDescent="0.25">
      <c r="A862">
        <v>976</v>
      </c>
      <c r="B862" s="6">
        <v>45209</v>
      </c>
      <c r="C862" s="5" t="s">
        <v>884</v>
      </c>
      <c r="D862" s="5" t="s">
        <v>1</v>
      </c>
      <c r="E862">
        <v>48</v>
      </c>
      <c r="F862" s="5" t="s">
        <v>717</v>
      </c>
      <c r="G862">
        <v>2</v>
      </c>
      <c r="H862" s="11">
        <v>300</v>
      </c>
      <c r="I862" s="11">
        <v>600</v>
      </c>
      <c r="J862" t="s">
        <v>20</v>
      </c>
      <c r="K862" t="s">
        <v>1028</v>
      </c>
      <c r="L862" t="s">
        <v>1038</v>
      </c>
      <c r="M862" t="s">
        <v>1047</v>
      </c>
      <c r="N862">
        <v>10</v>
      </c>
      <c r="O862" t="s">
        <v>1049</v>
      </c>
    </row>
    <row r="863" spans="1:15" x14ac:dyDescent="0.25">
      <c r="A863">
        <v>979</v>
      </c>
      <c r="B863" s="6">
        <v>44928</v>
      </c>
      <c r="C863" s="5" t="s">
        <v>885</v>
      </c>
      <c r="D863" s="5" t="s">
        <v>1</v>
      </c>
      <c r="E863">
        <v>19</v>
      </c>
      <c r="F863" s="5" t="s">
        <v>717</v>
      </c>
      <c r="G863">
        <v>1</v>
      </c>
      <c r="H863" s="11">
        <v>25</v>
      </c>
      <c r="I863" s="11">
        <v>25</v>
      </c>
      <c r="J863" t="s">
        <v>22</v>
      </c>
      <c r="K863" t="s">
        <v>1029</v>
      </c>
      <c r="L863" t="s">
        <v>1038</v>
      </c>
      <c r="M863" t="s">
        <v>1039</v>
      </c>
      <c r="N863">
        <v>1</v>
      </c>
      <c r="O863" t="s">
        <v>1045</v>
      </c>
    </row>
    <row r="864" spans="1:15" x14ac:dyDescent="0.25">
      <c r="A864">
        <v>982</v>
      </c>
      <c r="B864" s="6">
        <v>45279</v>
      </c>
      <c r="C864" s="5" t="s">
        <v>886</v>
      </c>
      <c r="D864" s="5" t="s">
        <v>1</v>
      </c>
      <c r="E864">
        <v>46</v>
      </c>
      <c r="F864" s="5" t="s">
        <v>717</v>
      </c>
      <c r="G864">
        <v>3</v>
      </c>
      <c r="H864" s="11">
        <v>30</v>
      </c>
      <c r="I864" s="11">
        <v>90</v>
      </c>
      <c r="J864" t="s">
        <v>20</v>
      </c>
      <c r="K864" t="s">
        <v>1028</v>
      </c>
      <c r="L864" t="s">
        <v>1038</v>
      </c>
      <c r="M864" t="s">
        <v>1047</v>
      </c>
      <c r="N864">
        <v>12</v>
      </c>
      <c r="O864" t="s">
        <v>1052</v>
      </c>
    </row>
    <row r="865" spans="1:15" x14ac:dyDescent="0.25">
      <c r="A865">
        <v>997</v>
      </c>
      <c r="B865" s="6">
        <v>45247</v>
      </c>
      <c r="C865" s="5" t="s">
        <v>887</v>
      </c>
      <c r="D865" s="5" t="s">
        <v>2</v>
      </c>
      <c r="E865">
        <v>52</v>
      </c>
      <c r="F865" s="5" t="s">
        <v>717</v>
      </c>
      <c r="G865">
        <v>3</v>
      </c>
      <c r="H865" s="11">
        <v>30</v>
      </c>
      <c r="I865" s="11">
        <v>90</v>
      </c>
      <c r="J865" t="s">
        <v>20</v>
      </c>
      <c r="K865" t="s">
        <v>1028</v>
      </c>
      <c r="L865" t="s">
        <v>1038</v>
      </c>
      <c r="M865" t="s">
        <v>1047</v>
      </c>
      <c r="N865">
        <v>11</v>
      </c>
      <c r="O865" t="s">
        <v>1048</v>
      </c>
    </row>
    <row r="866" spans="1:15" x14ac:dyDescent="0.25">
      <c r="A866">
        <v>998</v>
      </c>
      <c r="B866" s="6">
        <v>45228</v>
      </c>
      <c r="C866" s="5" t="s">
        <v>888</v>
      </c>
      <c r="D866" s="5" t="s">
        <v>1</v>
      </c>
      <c r="E866">
        <v>23</v>
      </c>
      <c r="F866" s="5" t="s">
        <v>717</v>
      </c>
      <c r="G866">
        <v>4</v>
      </c>
      <c r="H866" s="11">
        <v>25</v>
      </c>
      <c r="I866" s="11">
        <v>100</v>
      </c>
      <c r="J866" t="s">
        <v>22</v>
      </c>
      <c r="K866" t="s">
        <v>1029</v>
      </c>
      <c r="L866" t="s">
        <v>1038</v>
      </c>
      <c r="M866" t="s">
        <v>1047</v>
      </c>
      <c r="N866">
        <v>10</v>
      </c>
      <c r="O866" t="s">
        <v>1049</v>
      </c>
    </row>
    <row r="867" spans="1:15" x14ac:dyDescent="0.25">
      <c r="A867">
        <v>1</v>
      </c>
      <c r="B867" s="6">
        <v>45254</v>
      </c>
      <c r="C867" s="5" t="s">
        <v>889</v>
      </c>
      <c r="D867" s="5" t="s">
        <v>2</v>
      </c>
      <c r="E867">
        <v>34</v>
      </c>
      <c r="F867" s="5" t="s">
        <v>717</v>
      </c>
      <c r="G867">
        <v>3</v>
      </c>
      <c r="H867" s="11">
        <v>50</v>
      </c>
      <c r="I867" s="11">
        <v>150</v>
      </c>
      <c r="J867" t="s">
        <v>20</v>
      </c>
      <c r="K867" t="s">
        <v>1028</v>
      </c>
      <c r="L867" t="s">
        <v>1038</v>
      </c>
      <c r="M867" t="s">
        <v>1047</v>
      </c>
      <c r="N867">
        <v>11</v>
      </c>
      <c r="O867" t="s">
        <v>1048</v>
      </c>
    </row>
    <row r="868" spans="1:15" x14ac:dyDescent="0.25">
      <c r="A868">
        <v>5</v>
      </c>
      <c r="B868" s="6">
        <v>45052</v>
      </c>
      <c r="C868" s="5" t="s">
        <v>890</v>
      </c>
      <c r="D868" s="5" t="s">
        <v>2</v>
      </c>
      <c r="E868">
        <v>30</v>
      </c>
      <c r="F868" s="5" t="s">
        <v>717</v>
      </c>
      <c r="G868">
        <v>2</v>
      </c>
      <c r="H868" s="11">
        <v>50</v>
      </c>
      <c r="I868" s="11">
        <v>100</v>
      </c>
      <c r="J868" t="s">
        <v>20</v>
      </c>
      <c r="K868" t="s">
        <v>1028</v>
      </c>
      <c r="L868" t="s">
        <v>1038</v>
      </c>
      <c r="M868" t="s">
        <v>1041</v>
      </c>
      <c r="N868">
        <v>5</v>
      </c>
      <c r="O868" t="s">
        <v>1032</v>
      </c>
    </row>
    <row r="869" spans="1:15" x14ac:dyDescent="0.25">
      <c r="A869">
        <v>25</v>
      </c>
      <c r="B869" s="6">
        <v>45286</v>
      </c>
      <c r="C869" s="5" t="s">
        <v>891</v>
      </c>
      <c r="D869" s="5" t="s">
        <v>1</v>
      </c>
      <c r="E869">
        <v>64</v>
      </c>
      <c r="F869" s="5" t="s">
        <v>717</v>
      </c>
      <c r="G869">
        <v>1</v>
      </c>
      <c r="H869" s="11">
        <v>50</v>
      </c>
      <c r="I869" s="11">
        <v>50</v>
      </c>
      <c r="J869" t="s">
        <v>24</v>
      </c>
      <c r="K869" t="s">
        <v>1030</v>
      </c>
      <c r="L869" t="s">
        <v>1038</v>
      </c>
      <c r="M869" t="s">
        <v>1047</v>
      </c>
      <c r="N869">
        <v>12</v>
      </c>
      <c r="O869" t="s">
        <v>1052</v>
      </c>
    </row>
    <row r="870" spans="1:15" x14ac:dyDescent="0.25">
      <c r="A870">
        <v>38</v>
      </c>
      <c r="B870" s="6">
        <v>45006</v>
      </c>
      <c r="C870" s="5" t="s">
        <v>892</v>
      </c>
      <c r="D870" s="5" t="s">
        <v>2</v>
      </c>
      <c r="E870">
        <v>38</v>
      </c>
      <c r="F870" s="5" t="s">
        <v>717</v>
      </c>
      <c r="G870">
        <v>4</v>
      </c>
      <c r="H870" s="11">
        <v>50</v>
      </c>
      <c r="I870" s="11">
        <v>200</v>
      </c>
      <c r="J870" t="s">
        <v>20</v>
      </c>
      <c r="K870" t="s">
        <v>1028</v>
      </c>
      <c r="L870" t="s">
        <v>1038</v>
      </c>
      <c r="M870" t="s">
        <v>1039</v>
      </c>
      <c r="N870">
        <v>3</v>
      </c>
      <c r="O870" t="s">
        <v>1040</v>
      </c>
    </row>
    <row r="871" spans="1:15" x14ac:dyDescent="0.25">
      <c r="A871">
        <v>40</v>
      </c>
      <c r="B871" s="6">
        <v>45099</v>
      </c>
      <c r="C871" s="5" t="s">
        <v>893</v>
      </c>
      <c r="D871" s="5" t="s">
        <v>2</v>
      </c>
      <c r="E871">
        <v>45</v>
      </c>
      <c r="F871" s="5" t="s">
        <v>717</v>
      </c>
      <c r="G871">
        <v>1</v>
      </c>
      <c r="H871" s="11">
        <v>50</v>
      </c>
      <c r="I871" s="11">
        <v>50</v>
      </c>
      <c r="J871" t="s">
        <v>20</v>
      </c>
      <c r="K871" t="s">
        <v>1028</v>
      </c>
      <c r="L871" t="s">
        <v>1038</v>
      </c>
      <c r="M871" t="s">
        <v>1041</v>
      </c>
      <c r="N871">
        <v>6</v>
      </c>
      <c r="O871" t="s">
        <v>1050</v>
      </c>
    </row>
    <row r="872" spans="1:15" x14ac:dyDescent="0.25">
      <c r="A872">
        <v>60</v>
      </c>
      <c r="B872" s="6">
        <v>45222</v>
      </c>
      <c r="C872" s="5" t="s">
        <v>894</v>
      </c>
      <c r="D872" s="5" t="s">
        <v>2</v>
      </c>
      <c r="E872">
        <v>30</v>
      </c>
      <c r="F872" s="5" t="s">
        <v>717</v>
      </c>
      <c r="G872">
        <v>3</v>
      </c>
      <c r="H872" s="11">
        <v>50</v>
      </c>
      <c r="I872" s="11">
        <v>150</v>
      </c>
      <c r="J872" t="s">
        <v>20</v>
      </c>
      <c r="K872" t="s">
        <v>1028</v>
      </c>
      <c r="L872" t="s">
        <v>1038</v>
      </c>
      <c r="M872" t="s">
        <v>1047</v>
      </c>
      <c r="N872">
        <v>10</v>
      </c>
      <c r="O872" t="s">
        <v>1049</v>
      </c>
    </row>
    <row r="873" spans="1:15" x14ac:dyDescent="0.25">
      <c r="A873">
        <v>61</v>
      </c>
      <c r="B873" s="6">
        <v>45025</v>
      </c>
      <c r="C873" s="5" t="s">
        <v>895</v>
      </c>
      <c r="D873" s="5" t="s">
        <v>2</v>
      </c>
      <c r="E873">
        <v>21</v>
      </c>
      <c r="F873" s="5" t="s">
        <v>717</v>
      </c>
      <c r="G873">
        <v>4</v>
      </c>
      <c r="H873" s="11">
        <v>50</v>
      </c>
      <c r="I873" s="11">
        <v>200</v>
      </c>
      <c r="J873" t="s">
        <v>22</v>
      </c>
      <c r="K873" t="s">
        <v>1029</v>
      </c>
      <c r="L873" t="s">
        <v>1038</v>
      </c>
      <c r="M873" t="s">
        <v>1041</v>
      </c>
      <c r="N873">
        <v>4</v>
      </c>
      <c r="O873" t="s">
        <v>1042</v>
      </c>
    </row>
    <row r="874" spans="1:15" x14ac:dyDescent="0.25">
      <c r="A874">
        <v>62</v>
      </c>
      <c r="B874" s="6">
        <v>45287</v>
      </c>
      <c r="C874" s="5" t="s">
        <v>896</v>
      </c>
      <c r="D874" s="5" t="s">
        <v>2</v>
      </c>
      <c r="E874">
        <v>18</v>
      </c>
      <c r="F874" s="5" t="s">
        <v>717</v>
      </c>
      <c r="G874">
        <v>2</v>
      </c>
      <c r="H874" s="11">
        <v>50</v>
      </c>
      <c r="I874" s="11">
        <v>100</v>
      </c>
      <c r="J874" t="s">
        <v>22</v>
      </c>
      <c r="K874" t="s">
        <v>1029</v>
      </c>
      <c r="L874" t="s">
        <v>1038</v>
      </c>
      <c r="M874" t="s">
        <v>1047</v>
      </c>
      <c r="N874">
        <v>12</v>
      </c>
      <c r="O874" t="s">
        <v>1052</v>
      </c>
    </row>
    <row r="875" spans="1:15" x14ac:dyDescent="0.25">
      <c r="A875">
        <v>75</v>
      </c>
      <c r="B875" s="6">
        <v>45113</v>
      </c>
      <c r="C875" s="5" t="s">
        <v>897</v>
      </c>
      <c r="D875" s="5" t="s">
        <v>2</v>
      </c>
      <c r="E875">
        <v>61</v>
      </c>
      <c r="F875" s="5" t="s">
        <v>717</v>
      </c>
      <c r="G875">
        <v>4</v>
      </c>
      <c r="H875" s="11">
        <v>50</v>
      </c>
      <c r="I875" s="11">
        <v>200</v>
      </c>
      <c r="J875" t="s">
        <v>24</v>
      </c>
      <c r="K875" t="s">
        <v>1030</v>
      </c>
      <c r="L875" t="s">
        <v>1038</v>
      </c>
      <c r="M875" t="s">
        <v>1033</v>
      </c>
      <c r="N875">
        <v>7</v>
      </c>
      <c r="O875" t="s">
        <v>1046</v>
      </c>
    </row>
    <row r="876" spans="1:15" x14ac:dyDescent="0.25">
      <c r="A876">
        <v>82</v>
      </c>
      <c r="B876" s="6">
        <v>45286</v>
      </c>
      <c r="C876" s="5" t="s">
        <v>898</v>
      </c>
      <c r="D876" s="5" t="s">
        <v>1</v>
      </c>
      <c r="E876">
        <v>32</v>
      </c>
      <c r="F876" s="5" t="s">
        <v>717</v>
      </c>
      <c r="G876">
        <v>4</v>
      </c>
      <c r="H876" s="11">
        <v>50</v>
      </c>
      <c r="I876" s="11">
        <v>200</v>
      </c>
      <c r="J876" t="s">
        <v>20</v>
      </c>
      <c r="K876" t="s">
        <v>1028</v>
      </c>
      <c r="L876" t="s">
        <v>1038</v>
      </c>
      <c r="M876" t="s">
        <v>1047</v>
      </c>
      <c r="N876">
        <v>12</v>
      </c>
      <c r="O876" t="s">
        <v>1052</v>
      </c>
    </row>
    <row r="877" spans="1:15" x14ac:dyDescent="0.25">
      <c r="A877">
        <v>87</v>
      </c>
      <c r="B877" s="6">
        <v>45252</v>
      </c>
      <c r="C877" s="5" t="s">
        <v>899</v>
      </c>
      <c r="D877" s="5" t="s">
        <v>1</v>
      </c>
      <c r="E877">
        <v>28</v>
      </c>
      <c r="F877" s="5" t="s">
        <v>717</v>
      </c>
      <c r="G877">
        <v>2</v>
      </c>
      <c r="H877" s="11">
        <v>50</v>
      </c>
      <c r="I877" s="11">
        <v>100</v>
      </c>
      <c r="J877" t="s">
        <v>22</v>
      </c>
      <c r="K877" t="s">
        <v>1029</v>
      </c>
      <c r="L877" t="s">
        <v>1038</v>
      </c>
      <c r="M877" t="s">
        <v>1047</v>
      </c>
      <c r="N877">
        <v>11</v>
      </c>
      <c r="O877" t="s">
        <v>1048</v>
      </c>
    </row>
    <row r="878" spans="1:15" x14ac:dyDescent="0.25">
      <c r="A878">
        <v>98</v>
      </c>
      <c r="B878" s="6">
        <v>45039</v>
      </c>
      <c r="C878" s="5" t="s">
        <v>900</v>
      </c>
      <c r="D878" s="5" t="s">
        <v>1</v>
      </c>
      <c r="E878">
        <v>55</v>
      </c>
      <c r="F878" s="5" t="s">
        <v>717</v>
      </c>
      <c r="G878">
        <v>2</v>
      </c>
      <c r="H878" s="11">
        <v>50</v>
      </c>
      <c r="I878" s="11">
        <v>100</v>
      </c>
      <c r="J878" t="s">
        <v>20</v>
      </c>
      <c r="K878" t="s">
        <v>1028</v>
      </c>
      <c r="L878" t="s">
        <v>1038</v>
      </c>
      <c r="M878" t="s">
        <v>1041</v>
      </c>
      <c r="N878">
        <v>4</v>
      </c>
      <c r="O878" t="s">
        <v>1042</v>
      </c>
    </row>
    <row r="879" spans="1:15" x14ac:dyDescent="0.25">
      <c r="A879">
        <v>120</v>
      </c>
      <c r="B879" s="6">
        <v>45053</v>
      </c>
      <c r="C879" s="5" t="s">
        <v>901</v>
      </c>
      <c r="D879" s="5" t="s">
        <v>2</v>
      </c>
      <c r="E879">
        <v>60</v>
      </c>
      <c r="F879" s="5" t="s">
        <v>717</v>
      </c>
      <c r="G879">
        <v>1</v>
      </c>
      <c r="H879" s="11">
        <v>50</v>
      </c>
      <c r="I879" s="11">
        <v>50</v>
      </c>
      <c r="J879" t="s">
        <v>24</v>
      </c>
      <c r="K879" t="s">
        <v>1030</v>
      </c>
      <c r="L879" t="s">
        <v>1038</v>
      </c>
      <c r="M879" t="s">
        <v>1041</v>
      </c>
      <c r="N879">
        <v>5</v>
      </c>
      <c r="O879" t="s">
        <v>1032</v>
      </c>
    </row>
    <row r="880" spans="1:15" x14ac:dyDescent="0.25">
      <c r="A880">
        <v>176</v>
      </c>
      <c r="B880" s="6">
        <v>45118</v>
      </c>
      <c r="C880" s="5" t="s">
        <v>902</v>
      </c>
      <c r="D880" s="5" t="s">
        <v>1</v>
      </c>
      <c r="E880">
        <v>43</v>
      </c>
      <c r="F880" s="5" t="s">
        <v>717</v>
      </c>
      <c r="G880">
        <v>2</v>
      </c>
      <c r="H880" s="11">
        <v>50</v>
      </c>
      <c r="I880" s="11">
        <v>100</v>
      </c>
      <c r="J880" t="s">
        <v>20</v>
      </c>
      <c r="K880" t="s">
        <v>1028</v>
      </c>
      <c r="L880" t="s">
        <v>1038</v>
      </c>
      <c r="M880" t="s">
        <v>1033</v>
      </c>
      <c r="N880">
        <v>7</v>
      </c>
      <c r="O880" t="s">
        <v>1046</v>
      </c>
    </row>
    <row r="881" spans="1:15" x14ac:dyDescent="0.25">
      <c r="A881">
        <v>177</v>
      </c>
      <c r="B881" s="6">
        <v>45009</v>
      </c>
      <c r="C881" s="5" t="s">
        <v>903</v>
      </c>
      <c r="D881" s="5" t="s">
        <v>2</v>
      </c>
      <c r="E881">
        <v>45</v>
      </c>
      <c r="F881" s="5" t="s">
        <v>717</v>
      </c>
      <c r="G881">
        <v>2</v>
      </c>
      <c r="H881" s="11">
        <v>50</v>
      </c>
      <c r="I881" s="11">
        <v>100</v>
      </c>
      <c r="J881" t="s">
        <v>20</v>
      </c>
      <c r="K881" t="s">
        <v>1028</v>
      </c>
      <c r="L881" t="s">
        <v>1038</v>
      </c>
      <c r="M881" t="s">
        <v>1039</v>
      </c>
      <c r="N881">
        <v>3</v>
      </c>
      <c r="O881" t="s">
        <v>1040</v>
      </c>
    </row>
    <row r="882" spans="1:15" x14ac:dyDescent="0.25">
      <c r="A882">
        <v>189</v>
      </c>
      <c r="B882" s="6">
        <v>44956</v>
      </c>
      <c r="C882" s="5" t="s">
        <v>904</v>
      </c>
      <c r="D882" s="5" t="s">
        <v>2</v>
      </c>
      <c r="E882">
        <v>63</v>
      </c>
      <c r="F882" s="5" t="s">
        <v>717</v>
      </c>
      <c r="G882">
        <v>1</v>
      </c>
      <c r="H882" s="11">
        <v>50</v>
      </c>
      <c r="I882" s="11">
        <v>50</v>
      </c>
      <c r="J882" t="s">
        <v>24</v>
      </c>
      <c r="K882" t="s">
        <v>1030</v>
      </c>
      <c r="L882" t="s">
        <v>1038</v>
      </c>
      <c r="M882" t="s">
        <v>1039</v>
      </c>
      <c r="N882">
        <v>1</v>
      </c>
      <c r="O882" t="s">
        <v>1045</v>
      </c>
    </row>
    <row r="883" spans="1:15" x14ac:dyDescent="0.25">
      <c r="A883">
        <v>192</v>
      </c>
      <c r="B883" s="6">
        <v>44967</v>
      </c>
      <c r="C883" s="5" t="s">
        <v>905</v>
      </c>
      <c r="D883" s="5" t="s">
        <v>2</v>
      </c>
      <c r="E883">
        <v>62</v>
      </c>
      <c r="F883" s="5" t="s">
        <v>717</v>
      </c>
      <c r="G883">
        <v>2</v>
      </c>
      <c r="H883" s="11">
        <v>50</v>
      </c>
      <c r="I883" s="11">
        <v>100</v>
      </c>
      <c r="J883" t="s">
        <v>24</v>
      </c>
      <c r="K883" t="s">
        <v>1030</v>
      </c>
      <c r="L883" t="s">
        <v>1038</v>
      </c>
      <c r="M883" t="s">
        <v>1039</v>
      </c>
      <c r="N883">
        <v>2</v>
      </c>
      <c r="O883" t="s">
        <v>1044</v>
      </c>
    </row>
    <row r="884" spans="1:15" x14ac:dyDescent="0.25">
      <c r="A884">
        <v>200</v>
      </c>
      <c r="B884" s="6">
        <v>45170</v>
      </c>
      <c r="C884" s="5" t="s">
        <v>906</v>
      </c>
      <c r="D884" s="5" t="s">
        <v>2</v>
      </c>
      <c r="E884">
        <v>27</v>
      </c>
      <c r="F884" s="5" t="s">
        <v>717</v>
      </c>
      <c r="G884">
        <v>3</v>
      </c>
      <c r="H884" s="11">
        <v>50</v>
      </c>
      <c r="I884" s="11">
        <v>150</v>
      </c>
      <c r="J884" t="s">
        <v>22</v>
      </c>
      <c r="K884" t="s">
        <v>1029</v>
      </c>
      <c r="L884" t="s">
        <v>1038</v>
      </c>
      <c r="M884" t="s">
        <v>1033</v>
      </c>
      <c r="N884">
        <v>9</v>
      </c>
      <c r="O884" t="s">
        <v>1043</v>
      </c>
    </row>
    <row r="885" spans="1:15" x14ac:dyDescent="0.25">
      <c r="A885">
        <v>244</v>
      </c>
      <c r="B885" s="6">
        <v>45269</v>
      </c>
      <c r="C885" s="5" t="s">
        <v>907</v>
      </c>
      <c r="D885" s="5" t="s">
        <v>2</v>
      </c>
      <c r="E885">
        <v>28</v>
      </c>
      <c r="F885" s="5" t="s">
        <v>717</v>
      </c>
      <c r="G885">
        <v>2</v>
      </c>
      <c r="H885" s="11">
        <v>50</v>
      </c>
      <c r="I885" s="11">
        <v>100</v>
      </c>
      <c r="J885" t="s">
        <v>22</v>
      </c>
      <c r="K885" t="s">
        <v>1029</v>
      </c>
      <c r="L885" t="s">
        <v>1038</v>
      </c>
      <c r="M885" t="s">
        <v>1047</v>
      </c>
      <c r="N885">
        <v>12</v>
      </c>
      <c r="O885" t="s">
        <v>1052</v>
      </c>
    </row>
    <row r="886" spans="1:15" x14ac:dyDescent="0.25">
      <c r="A886">
        <v>251</v>
      </c>
      <c r="B886" s="6">
        <v>45169</v>
      </c>
      <c r="C886" s="5" t="s">
        <v>908</v>
      </c>
      <c r="D886" s="5" t="s">
        <v>1</v>
      </c>
      <c r="E886">
        <v>57</v>
      </c>
      <c r="F886" s="5" t="s">
        <v>717</v>
      </c>
      <c r="G886">
        <v>4</v>
      </c>
      <c r="H886" s="11">
        <v>50</v>
      </c>
      <c r="I886" s="11">
        <v>200</v>
      </c>
      <c r="J886" t="s">
        <v>24</v>
      </c>
      <c r="K886" t="s">
        <v>1030</v>
      </c>
      <c r="L886" t="s">
        <v>1038</v>
      </c>
      <c r="M886" t="s">
        <v>1033</v>
      </c>
      <c r="N886">
        <v>8</v>
      </c>
      <c r="O886" t="s">
        <v>1051</v>
      </c>
    </row>
    <row r="887" spans="1:15" x14ac:dyDescent="0.25">
      <c r="A887">
        <v>273</v>
      </c>
      <c r="B887" s="6">
        <v>45054</v>
      </c>
      <c r="C887" s="5" t="s">
        <v>909</v>
      </c>
      <c r="D887" s="5" t="s">
        <v>1</v>
      </c>
      <c r="E887">
        <v>22</v>
      </c>
      <c r="F887" s="5" t="s">
        <v>717</v>
      </c>
      <c r="G887">
        <v>1</v>
      </c>
      <c r="H887" s="11">
        <v>50</v>
      </c>
      <c r="I887" s="11">
        <v>50</v>
      </c>
      <c r="J887" t="s">
        <v>22</v>
      </c>
      <c r="K887" t="s">
        <v>1029</v>
      </c>
      <c r="L887" t="s">
        <v>1038</v>
      </c>
      <c r="M887" t="s">
        <v>1041</v>
      </c>
      <c r="N887">
        <v>5</v>
      </c>
      <c r="O887" t="s">
        <v>1032</v>
      </c>
    </row>
    <row r="888" spans="1:15" x14ac:dyDescent="0.25">
      <c r="A888">
        <v>328</v>
      </c>
      <c r="B888" s="6">
        <v>45007</v>
      </c>
      <c r="C888" s="5" t="s">
        <v>910</v>
      </c>
      <c r="D888" s="5" t="s">
        <v>2</v>
      </c>
      <c r="E888">
        <v>39</v>
      </c>
      <c r="F888" s="5" t="s">
        <v>717</v>
      </c>
      <c r="G888">
        <v>2</v>
      </c>
      <c r="H888" s="11">
        <v>50</v>
      </c>
      <c r="I888" s="11">
        <v>100</v>
      </c>
      <c r="J888" t="s">
        <v>20</v>
      </c>
      <c r="K888" t="s">
        <v>1028</v>
      </c>
      <c r="L888" t="s">
        <v>1038</v>
      </c>
      <c r="M888" t="s">
        <v>1039</v>
      </c>
      <c r="N888">
        <v>3</v>
      </c>
      <c r="O888" t="s">
        <v>1040</v>
      </c>
    </row>
    <row r="889" spans="1:15" x14ac:dyDescent="0.25">
      <c r="A889">
        <v>330</v>
      </c>
      <c r="B889" s="6">
        <v>45187</v>
      </c>
      <c r="C889" s="5" t="s">
        <v>911</v>
      </c>
      <c r="D889" s="5" t="s">
        <v>1</v>
      </c>
      <c r="E889">
        <v>25</v>
      </c>
      <c r="F889" s="5" t="s">
        <v>717</v>
      </c>
      <c r="G889">
        <v>4</v>
      </c>
      <c r="H889" s="11">
        <v>50</v>
      </c>
      <c r="I889" s="11">
        <v>200</v>
      </c>
      <c r="J889" t="s">
        <v>22</v>
      </c>
      <c r="K889" t="s">
        <v>1029</v>
      </c>
      <c r="L889" t="s">
        <v>1038</v>
      </c>
      <c r="M889" t="s">
        <v>1033</v>
      </c>
      <c r="N889">
        <v>9</v>
      </c>
      <c r="O889" t="s">
        <v>1043</v>
      </c>
    </row>
    <row r="890" spans="1:15" x14ac:dyDescent="0.25">
      <c r="A890">
        <v>336</v>
      </c>
      <c r="B890" s="6">
        <v>45272</v>
      </c>
      <c r="C890" s="5" t="s">
        <v>912</v>
      </c>
      <c r="D890" s="5" t="s">
        <v>1</v>
      </c>
      <c r="E890">
        <v>52</v>
      </c>
      <c r="F890" s="5" t="s">
        <v>717</v>
      </c>
      <c r="G890">
        <v>3</v>
      </c>
      <c r="H890" s="11">
        <v>50</v>
      </c>
      <c r="I890" s="11">
        <v>150</v>
      </c>
      <c r="J890" t="s">
        <v>20</v>
      </c>
      <c r="K890" t="s">
        <v>1028</v>
      </c>
      <c r="L890" t="s">
        <v>1038</v>
      </c>
      <c r="M890" t="s">
        <v>1047</v>
      </c>
      <c r="N890">
        <v>12</v>
      </c>
      <c r="O890" t="s">
        <v>1052</v>
      </c>
    </row>
    <row r="891" spans="1:15" x14ac:dyDescent="0.25">
      <c r="A891">
        <v>338</v>
      </c>
      <c r="B891" s="6">
        <v>45133</v>
      </c>
      <c r="C891" s="5" t="s">
        <v>913</v>
      </c>
      <c r="D891" s="5" t="s">
        <v>2</v>
      </c>
      <c r="E891">
        <v>54</v>
      </c>
      <c r="F891" s="5" t="s">
        <v>717</v>
      </c>
      <c r="G891">
        <v>2</v>
      </c>
      <c r="H891" s="11">
        <v>50</v>
      </c>
      <c r="I891" s="11">
        <v>100</v>
      </c>
      <c r="J891" t="s">
        <v>20</v>
      </c>
      <c r="K891" t="s">
        <v>1028</v>
      </c>
      <c r="L891" t="s">
        <v>1038</v>
      </c>
      <c r="M891" t="s">
        <v>1033</v>
      </c>
      <c r="N891">
        <v>7</v>
      </c>
      <c r="O891" t="s">
        <v>1046</v>
      </c>
    </row>
    <row r="892" spans="1:15" x14ac:dyDescent="0.25">
      <c r="A892">
        <v>349</v>
      </c>
      <c r="B892" s="6">
        <v>45225</v>
      </c>
      <c r="C892" s="5" t="s">
        <v>914</v>
      </c>
      <c r="D892" s="5" t="s">
        <v>1</v>
      </c>
      <c r="E892">
        <v>57</v>
      </c>
      <c r="F892" s="5" t="s">
        <v>717</v>
      </c>
      <c r="G892">
        <v>1</v>
      </c>
      <c r="H892" s="11">
        <v>50</v>
      </c>
      <c r="I892" s="11">
        <v>50</v>
      </c>
      <c r="J892" t="s">
        <v>24</v>
      </c>
      <c r="K892" t="s">
        <v>1030</v>
      </c>
      <c r="L892" t="s">
        <v>1038</v>
      </c>
      <c r="M892" t="s">
        <v>1047</v>
      </c>
      <c r="N892">
        <v>10</v>
      </c>
      <c r="O892" t="s">
        <v>1049</v>
      </c>
    </row>
    <row r="893" spans="1:15" x14ac:dyDescent="0.25">
      <c r="A893">
        <v>354</v>
      </c>
      <c r="B893" s="6">
        <v>45031</v>
      </c>
      <c r="C893" s="5" t="s">
        <v>915</v>
      </c>
      <c r="D893" s="5" t="s">
        <v>1</v>
      </c>
      <c r="E893">
        <v>49</v>
      </c>
      <c r="F893" s="5" t="s">
        <v>717</v>
      </c>
      <c r="G893">
        <v>4</v>
      </c>
      <c r="H893" s="11">
        <v>50</v>
      </c>
      <c r="I893" s="11">
        <v>200</v>
      </c>
      <c r="J893" t="s">
        <v>20</v>
      </c>
      <c r="K893" t="s">
        <v>1028</v>
      </c>
      <c r="L893" t="s">
        <v>1038</v>
      </c>
      <c r="M893" t="s">
        <v>1041</v>
      </c>
      <c r="N893">
        <v>4</v>
      </c>
      <c r="O893" t="s">
        <v>1042</v>
      </c>
    </row>
    <row r="894" spans="1:15" x14ac:dyDescent="0.25">
      <c r="A894">
        <v>433</v>
      </c>
      <c r="B894" s="6">
        <v>44984</v>
      </c>
      <c r="C894" s="5" t="s">
        <v>916</v>
      </c>
      <c r="D894" s="5" t="s">
        <v>2</v>
      </c>
      <c r="E894">
        <v>29</v>
      </c>
      <c r="F894" s="5" t="s">
        <v>717</v>
      </c>
      <c r="G894">
        <v>4</v>
      </c>
      <c r="H894" s="11">
        <v>50</v>
      </c>
      <c r="I894" s="11">
        <v>200</v>
      </c>
      <c r="J894" t="s">
        <v>22</v>
      </c>
      <c r="K894" t="s">
        <v>1029</v>
      </c>
      <c r="L894" t="s">
        <v>1038</v>
      </c>
      <c r="M894" t="s">
        <v>1039</v>
      </c>
      <c r="N894">
        <v>2</v>
      </c>
      <c r="O894" t="s">
        <v>1044</v>
      </c>
    </row>
    <row r="895" spans="1:15" x14ac:dyDescent="0.25">
      <c r="A895">
        <v>460</v>
      </c>
      <c r="B895" s="6">
        <v>45048</v>
      </c>
      <c r="C895" s="5" t="s">
        <v>917</v>
      </c>
      <c r="D895" s="5" t="s">
        <v>2</v>
      </c>
      <c r="E895">
        <v>40</v>
      </c>
      <c r="F895" s="5" t="s">
        <v>717</v>
      </c>
      <c r="G895">
        <v>1</v>
      </c>
      <c r="H895" s="11">
        <v>50</v>
      </c>
      <c r="I895" s="11">
        <v>50</v>
      </c>
      <c r="J895" t="s">
        <v>20</v>
      </c>
      <c r="K895" t="s">
        <v>1028</v>
      </c>
      <c r="L895" t="s">
        <v>1038</v>
      </c>
      <c r="M895" t="s">
        <v>1041</v>
      </c>
      <c r="N895">
        <v>5</v>
      </c>
      <c r="O895" t="s">
        <v>1032</v>
      </c>
    </row>
    <row r="896" spans="1:15" x14ac:dyDescent="0.25">
      <c r="A896">
        <v>473</v>
      </c>
      <c r="B896" s="6">
        <v>44982</v>
      </c>
      <c r="C896" s="5" t="s">
        <v>918</v>
      </c>
      <c r="D896" s="5" t="s">
        <v>2</v>
      </c>
      <c r="E896">
        <v>64</v>
      </c>
      <c r="F896" s="5" t="s">
        <v>717</v>
      </c>
      <c r="G896">
        <v>1</v>
      </c>
      <c r="H896" s="11">
        <v>50</v>
      </c>
      <c r="I896" s="11">
        <v>50</v>
      </c>
      <c r="J896" t="s">
        <v>24</v>
      </c>
      <c r="K896" t="s">
        <v>1030</v>
      </c>
      <c r="L896" t="s">
        <v>1038</v>
      </c>
      <c r="M896" t="s">
        <v>1039</v>
      </c>
      <c r="N896">
        <v>2</v>
      </c>
      <c r="O896" t="s">
        <v>1044</v>
      </c>
    </row>
    <row r="897" spans="1:15" x14ac:dyDescent="0.25">
      <c r="A897">
        <v>494</v>
      </c>
      <c r="B897" s="6">
        <v>45187</v>
      </c>
      <c r="C897" s="5" t="s">
        <v>919</v>
      </c>
      <c r="D897" s="5" t="s">
        <v>1</v>
      </c>
      <c r="E897">
        <v>42</v>
      </c>
      <c r="F897" s="5" t="s">
        <v>717</v>
      </c>
      <c r="G897">
        <v>4</v>
      </c>
      <c r="H897" s="11">
        <v>50</v>
      </c>
      <c r="I897" s="11">
        <v>200</v>
      </c>
      <c r="J897" t="s">
        <v>20</v>
      </c>
      <c r="K897" t="s">
        <v>1028</v>
      </c>
      <c r="L897" t="s">
        <v>1038</v>
      </c>
      <c r="M897" t="s">
        <v>1033</v>
      </c>
      <c r="N897">
        <v>9</v>
      </c>
      <c r="O897" t="s">
        <v>1043</v>
      </c>
    </row>
    <row r="898" spans="1:15" x14ac:dyDescent="0.25">
      <c r="A898">
        <v>504</v>
      </c>
      <c r="B898" s="6">
        <v>45062</v>
      </c>
      <c r="C898" s="5" t="s">
        <v>920</v>
      </c>
      <c r="D898" s="5" t="s">
        <v>1</v>
      </c>
      <c r="E898">
        <v>38</v>
      </c>
      <c r="F898" s="5" t="s">
        <v>717</v>
      </c>
      <c r="G898">
        <v>3</v>
      </c>
      <c r="H898" s="11">
        <v>50</v>
      </c>
      <c r="I898" s="11">
        <v>150</v>
      </c>
      <c r="J898" t="s">
        <v>20</v>
      </c>
      <c r="K898" t="s">
        <v>1028</v>
      </c>
      <c r="L898" t="s">
        <v>1038</v>
      </c>
      <c r="M898" t="s">
        <v>1041</v>
      </c>
      <c r="N898">
        <v>5</v>
      </c>
      <c r="O898" t="s">
        <v>1032</v>
      </c>
    </row>
    <row r="899" spans="1:15" x14ac:dyDescent="0.25">
      <c r="A899">
        <v>505</v>
      </c>
      <c r="B899" s="6">
        <v>44946</v>
      </c>
      <c r="C899" s="5" t="s">
        <v>921</v>
      </c>
      <c r="D899" s="5" t="s">
        <v>2</v>
      </c>
      <c r="E899">
        <v>24</v>
      </c>
      <c r="F899" s="5" t="s">
        <v>717</v>
      </c>
      <c r="G899">
        <v>1</v>
      </c>
      <c r="H899" s="11">
        <v>50</v>
      </c>
      <c r="I899" s="11">
        <v>50</v>
      </c>
      <c r="J899" t="s">
        <v>22</v>
      </c>
      <c r="K899" t="s">
        <v>1029</v>
      </c>
      <c r="L899" t="s">
        <v>1038</v>
      </c>
      <c r="M899" t="s">
        <v>1039</v>
      </c>
      <c r="N899">
        <v>1</v>
      </c>
      <c r="O899" t="s">
        <v>1045</v>
      </c>
    </row>
    <row r="900" spans="1:15" x14ac:dyDescent="0.25">
      <c r="A900">
        <v>510</v>
      </c>
      <c r="B900" s="6">
        <v>45087</v>
      </c>
      <c r="C900" s="5" t="s">
        <v>922</v>
      </c>
      <c r="D900" s="5" t="s">
        <v>1</v>
      </c>
      <c r="E900">
        <v>39</v>
      </c>
      <c r="F900" s="5" t="s">
        <v>717</v>
      </c>
      <c r="G900">
        <v>4</v>
      </c>
      <c r="H900" s="11">
        <v>50</v>
      </c>
      <c r="I900" s="11">
        <v>200</v>
      </c>
      <c r="J900" t="s">
        <v>20</v>
      </c>
      <c r="K900" t="s">
        <v>1028</v>
      </c>
      <c r="L900" t="s">
        <v>1038</v>
      </c>
      <c r="M900" t="s">
        <v>1041</v>
      </c>
      <c r="N900">
        <v>6</v>
      </c>
      <c r="O900" t="s">
        <v>1050</v>
      </c>
    </row>
    <row r="901" spans="1:15" x14ac:dyDescent="0.25">
      <c r="A901">
        <v>511</v>
      </c>
      <c r="B901" s="6">
        <v>45150</v>
      </c>
      <c r="C901" s="5" t="s">
        <v>923</v>
      </c>
      <c r="D901" s="5" t="s">
        <v>2</v>
      </c>
      <c r="E901">
        <v>45</v>
      </c>
      <c r="F901" s="5" t="s">
        <v>717</v>
      </c>
      <c r="G901">
        <v>2</v>
      </c>
      <c r="H901" s="11">
        <v>50</v>
      </c>
      <c r="I901" s="11">
        <v>100</v>
      </c>
      <c r="J901" t="s">
        <v>20</v>
      </c>
      <c r="K901" t="s">
        <v>1028</v>
      </c>
      <c r="L901" t="s">
        <v>1038</v>
      </c>
      <c r="M901" t="s">
        <v>1033</v>
      </c>
      <c r="N901">
        <v>8</v>
      </c>
      <c r="O901" t="s">
        <v>1051</v>
      </c>
    </row>
    <row r="902" spans="1:15" x14ac:dyDescent="0.25">
      <c r="A902">
        <v>542</v>
      </c>
      <c r="B902" s="6">
        <v>45094</v>
      </c>
      <c r="C902" s="5" t="s">
        <v>924</v>
      </c>
      <c r="D902" s="5" t="s">
        <v>1</v>
      </c>
      <c r="E902">
        <v>20</v>
      </c>
      <c r="F902" s="5" t="s">
        <v>717</v>
      </c>
      <c r="G902">
        <v>1</v>
      </c>
      <c r="H902" s="11">
        <v>50</v>
      </c>
      <c r="I902" s="11">
        <v>50</v>
      </c>
      <c r="J902" t="s">
        <v>22</v>
      </c>
      <c r="K902" t="s">
        <v>1029</v>
      </c>
      <c r="L902" t="s">
        <v>1038</v>
      </c>
      <c r="M902" t="s">
        <v>1041</v>
      </c>
      <c r="N902">
        <v>6</v>
      </c>
      <c r="O902" t="s">
        <v>1050</v>
      </c>
    </row>
    <row r="903" spans="1:15" x14ac:dyDescent="0.25">
      <c r="A903">
        <v>549</v>
      </c>
      <c r="B903" s="6">
        <v>45142</v>
      </c>
      <c r="C903" s="5" t="s">
        <v>925</v>
      </c>
      <c r="D903" s="5" t="s">
        <v>1</v>
      </c>
      <c r="E903">
        <v>50</v>
      </c>
      <c r="F903" s="5" t="s">
        <v>717</v>
      </c>
      <c r="G903">
        <v>2</v>
      </c>
      <c r="H903" s="11">
        <v>50</v>
      </c>
      <c r="I903" s="11">
        <v>100</v>
      </c>
      <c r="J903" t="s">
        <v>20</v>
      </c>
      <c r="K903" t="s">
        <v>1028</v>
      </c>
      <c r="L903" t="s">
        <v>1038</v>
      </c>
      <c r="M903" t="s">
        <v>1033</v>
      </c>
      <c r="N903">
        <v>8</v>
      </c>
      <c r="O903" t="s">
        <v>1051</v>
      </c>
    </row>
    <row r="904" spans="1:15" x14ac:dyDescent="0.25">
      <c r="A904">
        <v>554</v>
      </c>
      <c r="B904" s="6">
        <v>45242</v>
      </c>
      <c r="C904" s="5" t="s">
        <v>926</v>
      </c>
      <c r="D904" s="5" t="s">
        <v>1</v>
      </c>
      <c r="E904">
        <v>46</v>
      </c>
      <c r="F904" s="5" t="s">
        <v>717</v>
      </c>
      <c r="G904">
        <v>3</v>
      </c>
      <c r="H904" s="11">
        <v>50</v>
      </c>
      <c r="I904" s="11">
        <v>150</v>
      </c>
      <c r="J904" t="s">
        <v>20</v>
      </c>
      <c r="K904" t="s">
        <v>1028</v>
      </c>
      <c r="L904" t="s">
        <v>1038</v>
      </c>
      <c r="M904" t="s">
        <v>1047</v>
      </c>
      <c r="N904">
        <v>11</v>
      </c>
      <c r="O904" t="s">
        <v>1048</v>
      </c>
    </row>
    <row r="905" spans="1:15" x14ac:dyDescent="0.25">
      <c r="A905">
        <v>576</v>
      </c>
      <c r="B905" s="6">
        <v>45264</v>
      </c>
      <c r="C905" s="5" t="s">
        <v>927</v>
      </c>
      <c r="D905" s="5" t="s">
        <v>1</v>
      </c>
      <c r="E905">
        <v>33</v>
      </c>
      <c r="F905" s="5" t="s">
        <v>717</v>
      </c>
      <c r="G905">
        <v>3</v>
      </c>
      <c r="H905" s="11">
        <v>50</v>
      </c>
      <c r="I905" s="11">
        <v>150</v>
      </c>
      <c r="J905" t="s">
        <v>20</v>
      </c>
      <c r="K905" t="s">
        <v>1028</v>
      </c>
      <c r="L905" t="s">
        <v>1038</v>
      </c>
      <c r="M905" t="s">
        <v>1047</v>
      </c>
      <c r="N905">
        <v>12</v>
      </c>
      <c r="O905" t="s">
        <v>1052</v>
      </c>
    </row>
    <row r="906" spans="1:15" x14ac:dyDescent="0.25">
      <c r="A906">
        <v>584</v>
      </c>
      <c r="B906" s="6">
        <v>44974</v>
      </c>
      <c r="C906" s="5" t="s">
        <v>928</v>
      </c>
      <c r="D906" s="5" t="s">
        <v>1</v>
      </c>
      <c r="E906">
        <v>27</v>
      </c>
      <c r="F906" s="5" t="s">
        <v>717</v>
      </c>
      <c r="G906">
        <v>4</v>
      </c>
      <c r="H906" s="11">
        <v>50</v>
      </c>
      <c r="I906" s="11">
        <v>200</v>
      </c>
      <c r="J906" t="s">
        <v>22</v>
      </c>
      <c r="K906" t="s">
        <v>1029</v>
      </c>
      <c r="L906" t="s">
        <v>1038</v>
      </c>
      <c r="M906" t="s">
        <v>1039</v>
      </c>
      <c r="N906">
        <v>2</v>
      </c>
      <c r="O906" t="s">
        <v>1044</v>
      </c>
    </row>
    <row r="907" spans="1:15" x14ac:dyDescent="0.25">
      <c r="A907">
        <v>599</v>
      </c>
      <c r="B907" s="6">
        <v>45249</v>
      </c>
      <c r="C907" s="5" t="s">
        <v>929</v>
      </c>
      <c r="D907" s="5" t="s">
        <v>1</v>
      </c>
      <c r="E907">
        <v>28</v>
      </c>
      <c r="F907" s="5" t="s">
        <v>717</v>
      </c>
      <c r="G907">
        <v>2</v>
      </c>
      <c r="H907" s="11">
        <v>50</v>
      </c>
      <c r="I907" s="11">
        <v>100</v>
      </c>
      <c r="J907" t="s">
        <v>22</v>
      </c>
      <c r="K907" t="s">
        <v>1029</v>
      </c>
      <c r="L907" t="s">
        <v>1038</v>
      </c>
      <c r="M907" t="s">
        <v>1047</v>
      </c>
      <c r="N907">
        <v>11</v>
      </c>
      <c r="O907" t="s">
        <v>1048</v>
      </c>
    </row>
    <row r="908" spans="1:15" x14ac:dyDescent="0.25">
      <c r="A908">
        <v>618</v>
      </c>
      <c r="B908" s="6">
        <v>44952</v>
      </c>
      <c r="C908" s="5" t="s">
        <v>930</v>
      </c>
      <c r="D908" s="5" t="s">
        <v>1</v>
      </c>
      <c r="E908">
        <v>27</v>
      </c>
      <c r="F908" s="5" t="s">
        <v>717</v>
      </c>
      <c r="G908">
        <v>1</v>
      </c>
      <c r="H908" s="11">
        <v>50</v>
      </c>
      <c r="I908" s="11">
        <v>50</v>
      </c>
      <c r="J908" t="s">
        <v>22</v>
      </c>
      <c r="K908" t="s">
        <v>1029</v>
      </c>
      <c r="L908" t="s">
        <v>1038</v>
      </c>
      <c r="M908" t="s">
        <v>1039</v>
      </c>
      <c r="N908">
        <v>1</v>
      </c>
      <c r="O908" t="s">
        <v>1045</v>
      </c>
    </row>
    <row r="909" spans="1:15" x14ac:dyDescent="0.25">
      <c r="A909">
        <v>628</v>
      </c>
      <c r="B909" s="6">
        <v>45231</v>
      </c>
      <c r="C909" s="5" t="s">
        <v>931</v>
      </c>
      <c r="D909" s="5" t="s">
        <v>1</v>
      </c>
      <c r="E909">
        <v>19</v>
      </c>
      <c r="F909" s="5" t="s">
        <v>717</v>
      </c>
      <c r="G909">
        <v>4</v>
      </c>
      <c r="H909" s="11">
        <v>50</v>
      </c>
      <c r="I909" s="11">
        <v>200</v>
      </c>
      <c r="J909" t="s">
        <v>22</v>
      </c>
      <c r="K909" t="s">
        <v>1029</v>
      </c>
      <c r="L909" t="s">
        <v>1038</v>
      </c>
      <c r="M909" t="s">
        <v>1047</v>
      </c>
      <c r="N909">
        <v>11</v>
      </c>
      <c r="O909" t="s">
        <v>1048</v>
      </c>
    </row>
    <row r="910" spans="1:15" x14ac:dyDescent="0.25">
      <c r="A910">
        <v>639</v>
      </c>
      <c r="B910" s="6">
        <v>45059</v>
      </c>
      <c r="C910" s="5" t="s">
        <v>932</v>
      </c>
      <c r="D910" s="5" t="s">
        <v>1</v>
      </c>
      <c r="E910">
        <v>62</v>
      </c>
      <c r="F910" s="5" t="s">
        <v>717</v>
      </c>
      <c r="G910">
        <v>4</v>
      </c>
      <c r="H910" s="11">
        <v>50</v>
      </c>
      <c r="I910" s="11">
        <v>200</v>
      </c>
      <c r="J910" t="s">
        <v>24</v>
      </c>
      <c r="K910" t="s">
        <v>1030</v>
      </c>
      <c r="L910" t="s">
        <v>1038</v>
      </c>
      <c r="M910" t="s">
        <v>1041</v>
      </c>
      <c r="N910">
        <v>5</v>
      </c>
      <c r="O910" t="s">
        <v>1032</v>
      </c>
    </row>
    <row r="911" spans="1:15" x14ac:dyDescent="0.25">
      <c r="A911">
        <v>652</v>
      </c>
      <c r="B911" s="6">
        <v>45047</v>
      </c>
      <c r="C911" s="5" t="s">
        <v>933</v>
      </c>
      <c r="D911" s="5" t="s">
        <v>1</v>
      </c>
      <c r="E911">
        <v>34</v>
      </c>
      <c r="F911" s="5" t="s">
        <v>717</v>
      </c>
      <c r="G911">
        <v>2</v>
      </c>
      <c r="H911" s="11">
        <v>50</v>
      </c>
      <c r="I911" s="11">
        <v>100</v>
      </c>
      <c r="J911" t="s">
        <v>20</v>
      </c>
      <c r="K911" t="s">
        <v>1028</v>
      </c>
      <c r="L911" t="s">
        <v>1038</v>
      </c>
      <c r="M911" t="s">
        <v>1041</v>
      </c>
      <c r="N911">
        <v>5</v>
      </c>
      <c r="O911" t="s">
        <v>1032</v>
      </c>
    </row>
    <row r="912" spans="1:15" x14ac:dyDescent="0.25">
      <c r="A912">
        <v>672</v>
      </c>
      <c r="B912" s="6">
        <v>45139</v>
      </c>
      <c r="C912" s="5" t="s">
        <v>934</v>
      </c>
      <c r="D912" s="5" t="s">
        <v>1</v>
      </c>
      <c r="E912">
        <v>34</v>
      </c>
      <c r="F912" s="5" t="s">
        <v>717</v>
      </c>
      <c r="G912">
        <v>2</v>
      </c>
      <c r="H912" s="11">
        <v>50</v>
      </c>
      <c r="I912" s="11">
        <v>100</v>
      </c>
      <c r="J912" t="s">
        <v>20</v>
      </c>
      <c r="K912" t="s">
        <v>1028</v>
      </c>
      <c r="L912" t="s">
        <v>1038</v>
      </c>
      <c r="M912" t="s">
        <v>1033</v>
      </c>
      <c r="N912">
        <v>8</v>
      </c>
      <c r="O912" t="s">
        <v>1051</v>
      </c>
    </row>
    <row r="913" spans="1:15" x14ac:dyDescent="0.25">
      <c r="A913">
        <v>723</v>
      </c>
      <c r="B913" s="6">
        <v>45094</v>
      </c>
      <c r="C913" s="5" t="s">
        <v>935</v>
      </c>
      <c r="D913" s="5" t="s">
        <v>1</v>
      </c>
      <c r="E913">
        <v>54</v>
      </c>
      <c r="F913" s="5" t="s">
        <v>717</v>
      </c>
      <c r="G913">
        <v>4</v>
      </c>
      <c r="H913" s="11">
        <v>50</v>
      </c>
      <c r="I913" s="11">
        <v>200</v>
      </c>
      <c r="J913" t="s">
        <v>20</v>
      </c>
      <c r="K913" t="s">
        <v>1028</v>
      </c>
      <c r="L913" t="s">
        <v>1038</v>
      </c>
      <c r="M913" t="s">
        <v>1041</v>
      </c>
      <c r="N913">
        <v>6</v>
      </c>
      <c r="O913" t="s">
        <v>1050</v>
      </c>
    </row>
    <row r="914" spans="1:15" x14ac:dyDescent="0.25">
      <c r="A914">
        <v>740</v>
      </c>
      <c r="B914" s="6">
        <v>44962</v>
      </c>
      <c r="C914" s="5" t="s">
        <v>936</v>
      </c>
      <c r="D914" s="5" t="s">
        <v>1</v>
      </c>
      <c r="E914">
        <v>25</v>
      </c>
      <c r="F914" s="5" t="s">
        <v>717</v>
      </c>
      <c r="G914">
        <v>4</v>
      </c>
      <c r="H914" s="11">
        <v>50</v>
      </c>
      <c r="I914" s="11">
        <v>200</v>
      </c>
      <c r="J914" t="s">
        <v>22</v>
      </c>
      <c r="K914" t="s">
        <v>1029</v>
      </c>
      <c r="L914" t="s">
        <v>1038</v>
      </c>
      <c r="M914" t="s">
        <v>1039</v>
      </c>
      <c r="N914">
        <v>2</v>
      </c>
      <c r="O914" t="s">
        <v>1044</v>
      </c>
    </row>
    <row r="915" spans="1:15" x14ac:dyDescent="0.25">
      <c r="A915">
        <v>745</v>
      </c>
      <c r="B915" s="6">
        <v>45029</v>
      </c>
      <c r="C915" s="5" t="s">
        <v>937</v>
      </c>
      <c r="D915" s="5" t="s">
        <v>2</v>
      </c>
      <c r="E915">
        <v>54</v>
      </c>
      <c r="F915" s="5" t="s">
        <v>717</v>
      </c>
      <c r="G915">
        <v>2</v>
      </c>
      <c r="H915" s="11">
        <v>50</v>
      </c>
      <c r="I915" s="11">
        <v>100</v>
      </c>
      <c r="J915" t="s">
        <v>20</v>
      </c>
      <c r="K915" t="s">
        <v>1028</v>
      </c>
      <c r="L915" t="s">
        <v>1038</v>
      </c>
      <c r="M915" t="s">
        <v>1041</v>
      </c>
      <c r="N915">
        <v>4</v>
      </c>
      <c r="O915" t="s">
        <v>1042</v>
      </c>
    </row>
    <row r="916" spans="1:15" x14ac:dyDescent="0.25">
      <c r="A916">
        <v>785</v>
      </c>
      <c r="B916" s="6">
        <v>44988</v>
      </c>
      <c r="C916" s="5" t="s">
        <v>938</v>
      </c>
      <c r="D916" s="5" t="s">
        <v>1</v>
      </c>
      <c r="E916">
        <v>31</v>
      </c>
      <c r="F916" s="5" t="s">
        <v>717</v>
      </c>
      <c r="G916">
        <v>4</v>
      </c>
      <c r="H916" s="11">
        <v>50</v>
      </c>
      <c r="I916" s="11">
        <v>200</v>
      </c>
      <c r="J916" t="s">
        <v>20</v>
      </c>
      <c r="K916" t="s">
        <v>1028</v>
      </c>
      <c r="L916" t="s">
        <v>1038</v>
      </c>
      <c r="M916" t="s">
        <v>1039</v>
      </c>
      <c r="N916">
        <v>3</v>
      </c>
      <c r="O916" t="s">
        <v>1040</v>
      </c>
    </row>
    <row r="917" spans="1:15" x14ac:dyDescent="0.25">
      <c r="A917">
        <v>792</v>
      </c>
      <c r="B917" s="6">
        <v>45116</v>
      </c>
      <c r="C917" s="5" t="s">
        <v>939</v>
      </c>
      <c r="D917" s="5" t="s">
        <v>1</v>
      </c>
      <c r="E917">
        <v>20</v>
      </c>
      <c r="F917" s="5" t="s">
        <v>717</v>
      </c>
      <c r="G917">
        <v>1</v>
      </c>
      <c r="H917" s="11">
        <v>50</v>
      </c>
      <c r="I917" s="11">
        <v>50</v>
      </c>
      <c r="J917" t="s">
        <v>22</v>
      </c>
      <c r="K917" t="s">
        <v>1029</v>
      </c>
      <c r="L917" t="s">
        <v>1038</v>
      </c>
      <c r="M917" t="s">
        <v>1033</v>
      </c>
      <c r="N917">
        <v>7</v>
      </c>
      <c r="O917" t="s">
        <v>1046</v>
      </c>
    </row>
    <row r="918" spans="1:15" x14ac:dyDescent="0.25">
      <c r="A918">
        <v>809</v>
      </c>
      <c r="B918" s="6">
        <v>45194</v>
      </c>
      <c r="C918" s="5" t="s">
        <v>940</v>
      </c>
      <c r="D918" s="5" t="s">
        <v>1</v>
      </c>
      <c r="E918">
        <v>62</v>
      </c>
      <c r="F918" s="5" t="s">
        <v>717</v>
      </c>
      <c r="G918">
        <v>2</v>
      </c>
      <c r="H918" s="11">
        <v>50</v>
      </c>
      <c r="I918" s="11">
        <v>100</v>
      </c>
      <c r="J918" t="s">
        <v>24</v>
      </c>
      <c r="K918" t="s">
        <v>1030</v>
      </c>
      <c r="L918" t="s">
        <v>1038</v>
      </c>
      <c r="M918" t="s">
        <v>1033</v>
      </c>
      <c r="N918">
        <v>9</v>
      </c>
      <c r="O918" t="s">
        <v>1043</v>
      </c>
    </row>
    <row r="919" spans="1:15" x14ac:dyDescent="0.25">
      <c r="A919">
        <v>817</v>
      </c>
      <c r="B919" s="6">
        <v>45230</v>
      </c>
      <c r="C919" s="5" t="s">
        <v>941</v>
      </c>
      <c r="D919" s="5" t="s">
        <v>2</v>
      </c>
      <c r="E919">
        <v>30</v>
      </c>
      <c r="F919" s="5" t="s">
        <v>717</v>
      </c>
      <c r="G919">
        <v>4</v>
      </c>
      <c r="H919" s="11">
        <v>50</v>
      </c>
      <c r="I919" s="11">
        <v>200</v>
      </c>
      <c r="J919" t="s">
        <v>20</v>
      </c>
      <c r="K919" t="s">
        <v>1028</v>
      </c>
      <c r="L919" t="s">
        <v>1038</v>
      </c>
      <c r="M919" t="s">
        <v>1047</v>
      </c>
      <c r="N919">
        <v>10</v>
      </c>
      <c r="O919" t="s">
        <v>1049</v>
      </c>
    </row>
    <row r="920" spans="1:15" x14ac:dyDescent="0.25">
      <c r="A920">
        <v>819</v>
      </c>
      <c r="B920" s="6">
        <v>45092</v>
      </c>
      <c r="C920" s="5" t="s">
        <v>942</v>
      </c>
      <c r="D920" s="5" t="s">
        <v>1</v>
      </c>
      <c r="E920">
        <v>35</v>
      </c>
      <c r="F920" s="5" t="s">
        <v>717</v>
      </c>
      <c r="G920">
        <v>2</v>
      </c>
      <c r="H920" s="11">
        <v>50</v>
      </c>
      <c r="I920" s="11">
        <v>100</v>
      </c>
      <c r="J920" t="s">
        <v>20</v>
      </c>
      <c r="K920" t="s">
        <v>1028</v>
      </c>
      <c r="L920" t="s">
        <v>1038</v>
      </c>
      <c r="M920" t="s">
        <v>1041</v>
      </c>
      <c r="N920">
        <v>6</v>
      </c>
      <c r="O920" t="s">
        <v>1050</v>
      </c>
    </row>
    <row r="921" spans="1:15" x14ac:dyDescent="0.25">
      <c r="A921">
        <v>822</v>
      </c>
      <c r="B921" s="6">
        <v>45069</v>
      </c>
      <c r="C921" s="5" t="s">
        <v>943</v>
      </c>
      <c r="D921" s="5" t="s">
        <v>1</v>
      </c>
      <c r="E921">
        <v>52</v>
      </c>
      <c r="F921" s="5" t="s">
        <v>717</v>
      </c>
      <c r="G921">
        <v>3</v>
      </c>
      <c r="H921" s="11">
        <v>50</v>
      </c>
      <c r="I921" s="11">
        <v>150</v>
      </c>
      <c r="J921" t="s">
        <v>20</v>
      </c>
      <c r="K921" t="s">
        <v>1028</v>
      </c>
      <c r="L921" t="s">
        <v>1038</v>
      </c>
      <c r="M921" t="s">
        <v>1041</v>
      </c>
      <c r="N921">
        <v>5</v>
      </c>
      <c r="O921" t="s">
        <v>1032</v>
      </c>
    </row>
    <row r="922" spans="1:15" x14ac:dyDescent="0.25">
      <c r="A922">
        <v>833</v>
      </c>
      <c r="B922" s="6">
        <v>45093</v>
      </c>
      <c r="C922" s="5" t="s">
        <v>944</v>
      </c>
      <c r="D922" s="5" t="s">
        <v>2</v>
      </c>
      <c r="E922">
        <v>42</v>
      </c>
      <c r="F922" s="5" t="s">
        <v>717</v>
      </c>
      <c r="G922">
        <v>4</v>
      </c>
      <c r="H922" s="11">
        <v>50</v>
      </c>
      <c r="I922" s="11">
        <v>200</v>
      </c>
      <c r="J922" t="s">
        <v>20</v>
      </c>
      <c r="K922" t="s">
        <v>1028</v>
      </c>
      <c r="L922" t="s">
        <v>1038</v>
      </c>
      <c r="M922" t="s">
        <v>1041</v>
      </c>
      <c r="N922">
        <v>6</v>
      </c>
      <c r="O922" t="s">
        <v>1050</v>
      </c>
    </row>
    <row r="923" spans="1:15" x14ac:dyDescent="0.25">
      <c r="A923">
        <v>846</v>
      </c>
      <c r="B923" s="6">
        <v>45191</v>
      </c>
      <c r="C923" s="5" t="s">
        <v>945</v>
      </c>
      <c r="D923" s="5" t="s">
        <v>2</v>
      </c>
      <c r="E923">
        <v>42</v>
      </c>
      <c r="F923" s="5" t="s">
        <v>717</v>
      </c>
      <c r="G923">
        <v>1</v>
      </c>
      <c r="H923" s="11">
        <v>50</v>
      </c>
      <c r="I923" s="11">
        <v>50</v>
      </c>
      <c r="J923" t="s">
        <v>20</v>
      </c>
      <c r="K923" t="s">
        <v>1028</v>
      </c>
      <c r="L923" t="s">
        <v>1038</v>
      </c>
      <c r="M923" t="s">
        <v>1033</v>
      </c>
      <c r="N923">
        <v>9</v>
      </c>
      <c r="O923" t="s">
        <v>1043</v>
      </c>
    </row>
    <row r="924" spans="1:15" x14ac:dyDescent="0.25">
      <c r="A924">
        <v>902</v>
      </c>
      <c r="B924" s="6">
        <v>45078</v>
      </c>
      <c r="C924" s="5" t="s">
        <v>946</v>
      </c>
      <c r="D924" s="5" t="s">
        <v>1</v>
      </c>
      <c r="E924">
        <v>54</v>
      </c>
      <c r="F924" s="5" t="s">
        <v>717</v>
      </c>
      <c r="G924">
        <v>1</v>
      </c>
      <c r="H924" s="11">
        <v>50</v>
      </c>
      <c r="I924" s="11">
        <v>50</v>
      </c>
      <c r="J924" t="s">
        <v>20</v>
      </c>
      <c r="K924" t="s">
        <v>1028</v>
      </c>
      <c r="L924" t="s">
        <v>1038</v>
      </c>
      <c r="M924" t="s">
        <v>1041</v>
      </c>
      <c r="N924">
        <v>6</v>
      </c>
      <c r="O924" t="s">
        <v>1050</v>
      </c>
    </row>
    <row r="925" spans="1:15" x14ac:dyDescent="0.25">
      <c r="A925">
        <v>903</v>
      </c>
      <c r="B925" s="6">
        <v>45043</v>
      </c>
      <c r="C925" s="5" t="s">
        <v>947</v>
      </c>
      <c r="D925" s="5" t="s">
        <v>1</v>
      </c>
      <c r="E925">
        <v>51</v>
      </c>
      <c r="F925" s="5" t="s">
        <v>717</v>
      </c>
      <c r="G925">
        <v>4</v>
      </c>
      <c r="H925" s="11">
        <v>50</v>
      </c>
      <c r="I925" s="11">
        <v>200</v>
      </c>
      <c r="J925" t="s">
        <v>20</v>
      </c>
      <c r="K925" t="s">
        <v>1028</v>
      </c>
      <c r="L925" t="s">
        <v>1038</v>
      </c>
      <c r="M925" t="s">
        <v>1041</v>
      </c>
      <c r="N925">
        <v>4</v>
      </c>
      <c r="O925" t="s">
        <v>1042</v>
      </c>
    </row>
    <row r="926" spans="1:15" x14ac:dyDescent="0.25">
      <c r="A926">
        <v>910</v>
      </c>
      <c r="B926" s="6">
        <v>44991</v>
      </c>
      <c r="C926" s="5" t="s">
        <v>948</v>
      </c>
      <c r="D926" s="5" t="s">
        <v>1</v>
      </c>
      <c r="E926">
        <v>20</v>
      </c>
      <c r="F926" s="5" t="s">
        <v>717</v>
      </c>
      <c r="G926">
        <v>3</v>
      </c>
      <c r="H926" s="11">
        <v>50</v>
      </c>
      <c r="I926" s="11">
        <v>150</v>
      </c>
      <c r="J926" t="s">
        <v>22</v>
      </c>
      <c r="K926" t="s">
        <v>1029</v>
      </c>
      <c r="L926" t="s">
        <v>1038</v>
      </c>
      <c r="M926" t="s">
        <v>1039</v>
      </c>
      <c r="N926">
        <v>3</v>
      </c>
      <c r="O926" t="s">
        <v>1040</v>
      </c>
    </row>
    <row r="927" spans="1:15" x14ac:dyDescent="0.25">
      <c r="A927">
        <v>912</v>
      </c>
      <c r="B927" s="6">
        <v>44950</v>
      </c>
      <c r="C927" s="5" t="s">
        <v>949</v>
      </c>
      <c r="D927" s="5" t="s">
        <v>2</v>
      </c>
      <c r="E927">
        <v>51</v>
      </c>
      <c r="F927" s="5" t="s">
        <v>717</v>
      </c>
      <c r="G927">
        <v>3</v>
      </c>
      <c r="H927" s="11">
        <v>50</v>
      </c>
      <c r="I927" s="11">
        <v>150</v>
      </c>
      <c r="J927" t="s">
        <v>20</v>
      </c>
      <c r="K927" t="s">
        <v>1028</v>
      </c>
      <c r="L927" t="s">
        <v>1038</v>
      </c>
      <c r="M927" t="s">
        <v>1039</v>
      </c>
      <c r="N927">
        <v>1</v>
      </c>
      <c r="O927" t="s">
        <v>1045</v>
      </c>
    </row>
    <row r="928" spans="1:15" x14ac:dyDescent="0.25">
      <c r="A928">
        <v>924</v>
      </c>
      <c r="B928" s="6">
        <v>45167</v>
      </c>
      <c r="C928" s="5" t="s">
        <v>950</v>
      </c>
      <c r="D928" s="5" t="s">
        <v>2</v>
      </c>
      <c r="E928">
        <v>55</v>
      </c>
      <c r="F928" s="5" t="s">
        <v>717</v>
      </c>
      <c r="G928">
        <v>2</v>
      </c>
      <c r="H928" s="11">
        <v>50</v>
      </c>
      <c r="I928" s="11">
        <v>100</v>
      </c>
      <c r="J928" t="s">
        <v>20</v>
      </c>
      <c r="K928" t="s">
        <v>1028</v>
      </c>
      <c r="L928" t="s">
        <v>1038</v>
      </c>
      <c r="M928" t="s">
        <v>1033</v>
      </c>
      <c r="N928">
        <v>8</v>
      </c>
      <c r="O928" t="s">
        <v>1051</v>
      </c>
    </row>
    <row r="929" spans="1:15" x14ac:dyDescent="0.25">
      <c r="A929">
        <v>935</v>
      </c>
      <c r="B929" s="6">
        <v>45178</v>
      </c>
      <c r="C929" s="5" t="s">
        <v>951</v>
      </c>
      <c r="D929" s="5" t="s">
        <v>1</v>
      </c>
      <c r="E929">
        <v>34</v>
      </c>
      <c r="F929" s="5" t="s">
        <v>717</v>
      </c>
      <c r="G929">
        <v>1</v>
      </c>
      <c r="H929" s="11">
        <v>50</v>
      </c>
      <c r="I929" s="11">
        <v>50</v>
      </c>
      <c r="J929" t="s">
        <v>20</v>
      </c>
      <c r="K929" t="s">
        <v>1028</v>
      </c>
      <c r="L929" t="s">
        <v>1038</v>
      </c>
      <c r="M929" t="s">
        <v>1033</v>
      </c>
      <c r="N929">
        <v>9</v>
      </c>
      <c r="O929" t="s">
        <v>1043</v>
      </c>
    </row>
    <row r="930" spans="1:15" x14ac:dyDescent="0.25">
      <c r="A930">
        <v>936</v>
      </c>
      <c r="B930" s="6">
        <v>44964</v>
      </c>
      <c r="C930" s="5" t="s">
        <v>952</v>
      </c>
      <c r="D930" s="5" t="s">
        <v>2</v>
      </c>
      <c r="E930">
        <v>57</v>
      </c>
      <c r="F930" s="5" t="s">
        <v>717</v>
      </c>
      <c r="G930">
        <v>4</v>
      </c>
      <c r="H930" s="11">
        <v>50</v>
      </c>
      <c r="I930" s="11">
        <v>200</v>
      </c>
      <c r="J930" t="s">
        <v>24</v>
      </c>
      <c r="K930" t="s">
        <v>1030</v>
      </c>
      <c r="L930" t="s">
        <v>1038</v>
      </c>
      <c r="M930" t="s">
        <v>1039</v>
      </c>
      <c r="N930">
        <v>2</v>
      </c>
      <c r="O930" t="s">
        <v>1044</v>
      </c>
    </row>
    <row r="931" spans="1:15" x14ac:dyDescent="0.25">
      <c r="A931">
        <v>951</v>
      </c>
      <c r="B931" s="6">
        <v>45232</v>
      </c>
      <c r="C931" s="5" t="s">
        <v>953</v>
      </c>
      <c r="D931" s="5" t="s">
        <v>2</v>
      </c>
      <c r="E931">
        <v>33</v>
      </c>
      <c r="F931" s="5" t="s">
        <v>717</v>
      </c>
      <c r="G931">
        <v>2</v>
      </c>
      <c r="H931" s="11">
        <v>50</v>
      </c>
      <c r="I931" s="11">
        <v>100</v>
      </c>
      <c r="J931" t="s">
        <v>20</v>
      </c>
      <c r="K931" t="s">
        <v>1028</v>
      </c>
      <c r="L931" t="s">
        <v>1038</v>
      </c>
      <c r="M931" t="s">
        <v>1047</v>
      </c>
      <c r="N931">
        <v>11</v>
      </c>
      <c r="O931" t="s">
        <v>1048</v>
      </c>
    </row>
    <row r="932" spans="1:15" x14ac:dyDescent="0.25">
      <c r="A932">
        <v>961</v>
      </c>
      <c r="B932" s="6">
        <v>45083</v>
      </c>
      <c r="C932" s="5" t="s">
        <v>954</v>
      </c>
      <c r="D932" s="5" t="s">
        <v>2</v>
      </c>
      <c r="E932">
        <v>53</v>
      </c>
      <c r="F932" s="5" t="s">
        <v>717</v>
      </c>
      <c r="G932">
        <v>4</v>
      </c>
      <c r="H932" s="11">
        <v>50</v>
      </c>
      <c r="I932" s="11">
        <v>200</v>
      </c>
      <c r="J932" t="s">
        <v>20</v>
      </c>
      <c r="K932" t="s">
        <v>1028</v>
      </c>
      <c r="L932" t="s">
        <v>1038</v>
      </c>
      <c r="M932" t="s">
        <v>1041</v>
      </c>
      <c r="N932">
        <v>6</v>
      </c>
      <c r="O932" t="s">
        <v>1050</v>
      </c>
    </row>
    <row r="933" spans="1:15" x14ac:dyDescent="0.25">
      <c r="A933">
        <v>963</v>
      </c>
      <c r="B933" s="6">
        <v>45244</v>
      </c>
      <c r="C933" s="5" t="s">
        <v>955</v>
      </c>
      <c r="D933" s="5" t="s">
        <v>1</v>
      </c>
      <c r="E933">
        <v>55</v>
      </c>
      <c r="F933" s="5" t="s">
        <v>717</v>
      </c>
      <c r="G933">
        <v>1</v>
      </c>
      <c r="H933" s="11">
        <v>50</v>
      </c>
      <c r="I933" s="11">
        <v>50</v>
      </c>
      <c r="J933" t="s">
        <v>20</v>
      </c>
      <c r="K933" t="s">
        <v>1028</v>
      </c>
      <c r="L933" t="s">
        <v>1038</v>
      </c>
      <c r="M933" t="s">
        <v>1047</v>
      </c>
      <c r="N933">
        <v>11</v>
      </c>
      <c r="O933" t="s">
        <v>1048</v>
      </c>
    </row>
    <row r="934" spans="1:15" x14ac:dyDescent="0.25">
      <c r="A934">
        <v>21</v>
      </c>
      <c r="B934" s="6">
        <v>44940</v>
      </c>
      <c r="C934" s="5" t="s">
        <v>956</v>
      </c>
      <c r="D934" s="5" t="s">
        <v>1</v>
      </c>
      <c r="E934">
        <v>50</v>
      </c>
      <c r="F934" s="5" t="s">
        <v>717</v>
      </c>
      <c r="G934">
        <v>1</v>
      </c>
      <c r="H934" s="11">
        <v>500</v>
      </c>
      <c r="I934" s="11">
        <v>500</v>
      </c>
      <c r="J934" t="s">
        <v>20</v>
      </c>
      <c r="K934" t="s">
        <v>1028</v>
      </c>
      <c r="L934" t="s">
        <v>1038</v>
      </c>
      <c r="M934" t="s">
        <v>1039</v>
      </c>
      <c r="N934">
        <v>1</v>
      </c>
      <c r="O934" t="s">
        <v>1045</v>
      </c>
    </row>
    <row r="935" spans="1:15" x14ac:dyDescent="0.25">
      <c r="A935">
        <v>28</v>
      </c>
      <c r="B935" s="6">
        <v>45039</v>
      </c>
      <c r="C935" s="5" t="s">
        <v>957</v>
      </c>
      <c r="D935" s="5" t="s">
        <v>1</v>
      </c>
      <c r="E935">
        <v>43</v>
      </c>
      <c r="F935" s="5" t="s">
        <v>717</v>
      </c>
      <c r="G935">
        <v>1</v>
      </c>
      <c r="H935" s="11">
        <v>500</v>
      </c>
      <c r="I935" s="11">
        <v>500</v>
      </c>
      <c r="J935" t="s">
        <v>20</v>
      </c>
      <c r="K935" t="s">
        <v>1028</v>
      </c>
      <c r="L935" t="s">
        <v>1038</v>
      </c>
      <c r="M935" t="s">
        <v>1041</v>
      </c>
      <c r="N935">
        <v>4</v>
      </c>
      <c r="O935" t="s">
        <v>1042</v>
      </c>
    </row>
    <row r="936" spans="1:15" x14ac:dyDescent="0.25">
      <c r="A936">
        <v>47</v>
      </c>
      <c r="B936" s="6">
        <v>45236</v>
      </c>
      <c r="C936" s="5" t="s">
        <v>958</v>
      </c>
      <c r="D936" s="5" t="s">
        <v>1</v>
      </c>
      <c r="E936">
        <v>40</v>
      </c>
      <c r="F936" s="5" t="s">
        <v>717</v>
      </c>
      <c r="G936">
        <v>3</v>
      </c>
      <c r="H936" s="11">
        <v>500</v>
      </c>
      <c r="I936" s="11">
        <v>1500</v>
      </c>
      <c r="J936" t="s">
        <v>20</v>
      </c>
      <c r="K936" t="s">
        <v>1028</v>
      </c>
      <c r="L936" t="s">
        <v>1038</v>
      </c>
      <c r="M936" t="s">
        <v>1047</v>
      </c>
      <c r="N936">
        <v>11</v>
      </c>
      <c r="O936" t="s">
        <v>1048</v>
      </c>
    </row>
    <row r="937" spans="1:15" x14ac:dyDescent="0.25">
      <c r="A937">
        <v>74</v>
      </c>
      <c r="B937" s="6">
        <v>45252</v>
      </c>
      <c r="C937" s="5" t="s">
        <v>959</v>
      </c>
      <c r="D937" s="5" t="s">
        <v>1</v>
      </c>
      <c r="E937">
        <v>18</v>
      </c>
      <c r="F937" s="5" t="s">
        <v>717</v>
      </c>
      <c r="G937">
        <v>4</v>
      </c>
      <c r="H937" s="11">
        <v>500</v>
      </c>
      <c r="I937" s="11">
        <v>2000</v>
      </c>
      <c r="J937" t="s">
        <v>22</v>
      </c>
      <c r="K937" t="s">
        <v>1029</v>
      </c>
      <c r="L937" t="s">
        <v>1038</v>
      </c>
      <c r="M937" t="s">
        <v>1047</v>
      </c>
      <c r="N937">
        <v>11</v>
      </c>
      <c r="O937" t="s">
        <v>1048</v>
      </c>
    </row>
    <row r="938" spans="1:15" x14ac:dyDescent="0.25">
      <c r="A938">
        <v>93</v>
      </c>
      <c r="B938" s="6">
        <v>45121</v>
      </c>
      <c r="C938" s="5" t="s">
        <v>960</v>
      </c>
      <c r="D938" s="5" t="s">
        <v>1</v>
      </c>
      <c r="E938">
        <v>35</v>
      </c>
      <c r="F938" s="5" t="s">
        <v>717</v>
      </c>
      <c r="G938">
        <v>4</v>
      </c>
      <c r="H938" s="11">
        <v>500</v>
      </c>
      <c r="I938" s="11">
        <v>2000</v>
      </c>
      <c r="J938" t="s">
        <v>20</v>
      </c>
      <c r="K938" t="s">
        <v>1028</v>
      </c>
      <c r="L938" t="s">
        <v>1038</v>
      </c>
      <c r="M938" t="s">
        <v>1033</v>
      </c>
      <c r="N938">
        <v>7</v>
      </c>
      <c r="O938" t="s">
        <v>1046</v>
      </c>
    </row>
    <row r="939" spans="1:15" x14ac:dyDescent="0.25">
      <c r="A939">
        <v>94</v>
      </c>
      <c r="B939" s="6">
        <v>45065</v>
      </c>
      <c r="C939" s="5" t="s">
        <v>961</v>
      </c>
      <c r="D939" s="5" t="s">
        <v>1</v>
      </c>
      <c r="E939">
        <v>47</v>
      </c>
      <c r="F939" s="5" t="s">
        <v>717</v>
      </c>
      <c r="G939">
        <v>2</v>
      </c>
      <c r="H939" s="11">
        <v>500</v>
      </c>
      <c r="I939" s="11">
        <v>1000</v>
      </c>
      <c r="J939" t="s">
        <v>20</v>
      </c>
      <c r="K939" t="s">
        <v>1028</v>
      </c>
      <c r="L939" t="s">
        <v>1038</v>
      </c>
      <c r="M939" t="s">
        <v>1041</v>
      </c>
      <c r="N939">
        <v>5</v>
      </c>
      <c r="O939" t="s">
        <v>1032</v>
      </c>
    </row>
    <row r="940" spans="1:15" x14ac:dyDescent="0.25">
      <c r="A940">
        <v>97</v>
      </c>
      <c r="B940" s="6">
        <v>45212</v>
      </c>
      <c r="C940" s="5" t="s">
        <v>962</v>
      </c>
      <c r="D940" s="5" t="s">
        <v>1</v>
      </c>
      <c r="E940">
        <v>51</v>
      </c>
      <c r="F940" s="5" t="s">
        <v>717</v>
      </c>
      <c r="G940">
        <v>2</v>
      </c>
      <c r="H940" s="11">
        <v>500</v>
      </c>
      <c r="I940" s="11">
        <v>1000</v>
      </c>
      <c r="J940" t="s">
        <v>20</v>
      </c>
      <c r="K940" t="s">
        <v>1028</v>
      </c>
      <c r="L940" t="s">
        <v>1038</v>
      </c>
      <c r="M940" t="s">
        <v>1047</v>
      </c>
      <c r="N940">
        <v>10</v>
      </c>
      <c r="O940" t="s">
        <v>1049</v>
      </c>
    </row>
    <row r="941" spans="1:15" x14ac:dyDescent="0.25">
      <c r="A941">
        <v>104</v>
      </c>
      <c r="B941" s="6">
        <v>45088</v>
      </c>
      <c r="C941" s="5" t="s">
        <v>963</v>
      </c>
      <c r="D941" s="5" t="s">
        <v>1</v>
      </c>
      <c r="E941">
        <v>34</v>
      </c>
      <c r="F941" s="5" t="s">
        <v>717</v>
      </c>
      <c r="G941">
        <v>2</v>
      </c>
      <c r="H941" s="11">
        <v>500</v>
      </c>
      <c r="I941" s="11">
        <v>1000</v>
      </c>
      <c r="J941" t="s">
        <v>20</v>
      </c>
      <c r="K941" t="s">
        <v>1028</v>
      </c>
      <c r="L941" t="s">
        <v>1038</v>
      </c>
      <c r="M941" t="s">
        <v>1041</v>
      </c>
      <c r="N941">
        <v>6</v>
      </c>
      <c r="O941" t="s">
        <v>1050</v>
      </c>
    </row>
    <row r="942" spans="1:15" x14ac:dyDescent="0.25">
      <c r="A942">
        <v>128</v>
      </c>
      <c r="B942" s="6">
        <v>45112</v>
      </c>
      <c r="C942" s="5" t="s">
        <v>964</v>
      </c>
      <c r="D942" s="5" t="s">
        <v>2</v>
      </c>
      <c r="E942">
        <v>25</v>
      </c>
      <c r="F942" s="5" t="s">
        <v>717</v>
      </c>
      <c r="G942">
        <v>1</v>
      </c>
      <c r="H942" s="11">
        <v>500</v>
      </c>
      <c r="I942" s="11">
        <v>500</v>
      </c>
      <c r="J942" t="s">
        <v>22</v>
      </c>
      <c r="K942" t="s">
        <v>1029</v>
      </c>
      <c r="L942" t="s">
        <v>1038</v>
      </c>
      <c r="M942" t="s">
        <v>1033</v>
      </c>
      <c r="N942">
        <v>7</v>
      </c>
      <c r="O942" t="s">
        <v>1046</v>
      </c>
    </row>
    <row r="943" spans="1:15" x14ac:dyDescent="0.25">
      <c r="A943">
        <v>137</v>
      </c>
      <c r="B943" s="6">
        <v>45248</v>
      </c>
      <c r="C943" s="5" t="s">
        <v>965</v>
      </c>
      <c r="D943" s="5" t="s">
        <v>2</v>
      </c>
      <c r="E943">
        <v>46</v>
      </c>
      <c r="F943" s="5" t="s">
        <v>717</v>
      </c>
      <c r="G943">
        <v>2</v>
      </c>
      <c r="H943" s="11">
        <v>500</v>
      </c>
      <c r="I943" s="11">
        <v>1000</v>
      </c>
      <c r="J943" t="s">
        <v>20</v>
      </c>
      <c r="K943" t="s">
        <v>1028</v>
      </c>
      <c r="L943" t="s">
        <v>1038</v>
      </c>
      <c r="M943" t="s">
        <v>1047</v>
      </c>
      <c r="N943">
        <v>11</v>
      </c>
      <c r="O943" t="s">
        <v>1048</v>
      </c>
    </row>
    <row r="944" spans="1:15" x14ac:dyDescent="0.25">
      <c r="A944">
        <v>139</v>
      </c>
      <c r="B944" s="6">
        <v>45275</v>
      </c>
      <c r="C944" s="5" t="s">
        <v>966</v>
      </c>
      <c r="D944" s="5" t="s">
        <v>2</v>
      </c>
      <c r="E944">
        <v>36</v>
      </c>
      <c r="F944" s="5" t="s">
        <v>717</v>
      </c>
      <c r="G944">
        <v>4</v>
      </c>
      <c r="H944" s="11">
        <v>500</v>
      </c>
      <c r="I944" s="11">
        <v>2000</v>
      </c>
      <c r="J944" t="s">
        <v>20</v>
      </c>
      <c r="K944" t="s">
        <v>1028</v>
      </c>
      <c r="L944" t="s">
        <v>1038</v>
      </c>
      <c r="M944" t="s">
        <v>1047</v>
      </c>
      <c r="N944">
        <v>12</v>
      </c>
      <c r="O944" t="s">
        <v>1052</v>
      </c>
    </row>
    <row r="945" spans="1:15" x14ac:dyDescent="0.25">
      <c r="A945">
        <v>144</v>
      </c>
      <c r="B945" s="6">
        <v>45122</v>
      </c>
      <c r="C945" s="5" t="s">
        <v>967</v>
      </c>
      <c r="D945" s="5" t="s">
        <v>1</v>
      </c>
      <c r="E945">
        <v>59</v>
      </c>
      <c r="F945" s="5" t="s">
        <v>717</v>
      </c>
      <c r="G945">
        <v>3</v>
      </c>
      <c r="H945" s="11">
        <v>500</v>
      </c>
      <c r="I945" s="11">
        <v>1500</v>
      </c>
      <c r="J945" t="s">
        <v>24</v>
      </c>
      <c r="K945" t="s">
        <v>1030</v>
      </c>
      <c r="L945" t="s">
        <v>1038</v>
      </c>
      <c r="M945" t="s">
        <v>1033</v>
      </c>
      <c r="N945">
        <v>7</v>
      </c>
      <c r="O945" t="s">
        <v>1046</v>
      </c>
    </row>
    <row r="946" spans="1:15" x14ac:dyDescent="0.25">
      <c r="A946">
        <v>161</v>
      </c>
      <c r="B946" s="6">
        <v>45007</v>
      </c>
      <c r="C946" s="5" t="s">
        <v>968</v>
      </c>
      <c r="D946" s="5" t="s">
        <v>2</v>
      </c>
      <c r="E946">
        <v>64</v>
      </c>
      <c r="F946" s="5" t="s">
        <v>717</v>
      </c>
      <c r="G946">
        <v>2</v>
      </c>
      <c r="H946" s="11">
        <v>500</v>
      </c>
      <c r="I946" s="11">
        <v>1000</v>
      </c>
      <c r="J946" t="s">
        <v>24</v>
      </c>
      <c r="K946" t="s">
        <v>1030</v>
      </c>
      <c r="L946" t="s">
        <v>1038</v>
      </c>
      <c r="M946" t="s">
        <v>1039</v>
      </c>
      <c r="N946">
        <v>3</v>
      </c>
      <c r="O946" t="s">
        <v>1040</v>
      </c>
    </row>
    <row r="947" spans="1:15" x14ac:dyDescent="0.25">
      <c r="A947">
        <v>164</v>
      </c>
      <c r="B947" s="6">
        <v>45061</v>
      </c>
      <c r="C947" s="5" t="s">
        <v>969</v>
      </c>
      <c r="D947" s="5" t="s">
        <v>1</v>
      </c>
      <c r="E947">
        <v>47</v>
      </c>
      <c r="F947" s="5" t="s">
        <v>717</v>
      </c>
      <c r="G947">
        <v>3</v>
      </c>
      <c r="H947" s="11">
        <v>500</v>
      </c>
      <c r="I947" s="11">
        <v>1500</v>
      </c>
      <c r="J947" t="s">
        <v>20</v>
      </c>
      <c r="K947" t="s">
        <v>1028</v>
      </c>
      <c r="L947" t="s">
        <v>1038</v>
      </c>
      <c r="M947" t="s">
        <v>1041</v>
      </c>
      <c r="N947">
        <v>5</v>
      </c>
      <c r="O947" t="s">
        <v>1032</v>
      </c>
    </row>
    <row r="948" spans="1:15" x14ac:dyDescent="0.25">
      <c r="A948">
        <v>169</v>
      </c>
      <c r="B948" s="6">
        <v>45247</v>
      </c>
      <c r="C948" s="5" t="s">
        <v>970</v>
      </c>
      <c r="D948" s="5" t="s">
        <v>2</v>
      </c>
      <c r="E948">
        <v>18</v>
      </c>
      <c r="F948" s="5" t="s">
        <v>717</v>
      </c>
      <c r="G948">
        <v>3</v>
      </c>
      <c r="H948" s="11">
        <v>500</v>
      </c>
      <c r="I948" s="11">
        <v>1500</v>
      </c>
      <c r="J948" t="s">
        <v>22</v>
      </c>
      <c r="K948" t="s">
        <v>1029</v>
      </c>
      <c r="L948" t="s">
        <v>1038</v>
      </c>
      <c r="M948" t="s">
        <v>1047</v>
      </c>
      <c r="N948">
        <v>11</v>
      </c>
      <c r="O948" t="s">
        <v>1048</v>
      </c>
    </row>
    <row r="949" spans="1:15" x14ac:dyDescent="0.25">
      <c r="A949">
        <v>193</v>
      </c>
      <c r="B949" s="6">
        <v>44970</v>
      </c>
      <c r="C949" s="5" t="s">
        <v>971</v>
      </c>
      <c r="D949" s="5" t="s">
        <v>2</v>
      </c>
      <c r="E949">
        <v>35</v>
      </c>
      <c r="F949" s="5" t="s">
        <v>717</v>
      </c>
      <c r="G949">
        <v>3</v>
      </c>
      <c r="H949" s="11">
        <v>500</v>
      </c>
      <c r="I949" s="11">
        <v>1500</v>
      </c>
      <c r="J949" t="s">
        <v>20</v>
      </c>
      <c r="K949" t="s">
        <v>1028</v>
      </c>
      <c r="L949" t="s">
        <v>1038</v>
      </c>
      <c r="M949" t="s">
        <v>1039</v>
      </c>
      <c r="N949">
        <v>2</v>
      </c>
      <c r="O949" t="s">
        <v>1044</v>
      </c>
    </row>
    <row r="950" spans="1:15" x14ac:dyDescent="0.25">
      <c r="A950">
        <v>199</v>
      </c>
      <c r="B950" s="6">
        <v>45264</v>
      </c>
      <c r="C950" s="5" t="s">
        <v>972</v>
      </c>
      <c r="D950" s="5" t="s">
        <v>2</v>
      </c>
      <c r="E950">
        <v>45</v>
      </c>
      <c r="F950" s="5" t="s">
        <v>717</v>
      </c>
      <c r="G950">
        <v>3</v>
      </c>
      <c r="H950" s="11">
        <v>500</v>
      </c>
      <c r="I950" s="11">
        <v>1500</v>
      </c>
      <c r="J950" t="s">
        <v>20</v>
      </c>
      <c r="K950" t="s">
        <v>1028</v>
      </c>
      <c r="L950" t="s">
        <v>1038</v>
      </c>
      <c r="M950" t="s">
        <v>1047</v>
      </c>
      <c r="N950">
        <v>12</v>
      </c>
      <c r="O950" t="s">
        <v>1052</v>
      </c>
    </row>
    <row r="951" spans="1:15" x14ac:dyDescent="0.25">
      <c r="A951">
        <v>211</v>
      </c>
      <c r="B951" s="6">
        <v>45292</v>
      </c>
      <c r="C951" s="5" t="s">
        <v>973</v>
      </c>
      <c r="D951" s="5" t="s">
        <v>2</v>
      </c>
      <c r="E951">
        <v>42</v>
      </c>
      <c r="F951" s="5" t="s">
        <v>717</v>
      </c>
      <c r="G951">
        <v>3</v>
      </c>
      <c r="H951" s="11">
        <v>500</v>
      </c>
      <c r="I951" s="11">
        <v>1500</v>
      </c>
      <c r="J951" t="s">
        <v>20</v>
      </c>
      <c r="K951" t="s">
        <v>1028</v>
      </c>
      <c r="L951" t="s">
        <v>1053</v>
      </c>
      <c r="M951" t="s">
        <v>1039</v>
      </c>
      <c r="N951">
        <v>1</v>
      </c>
      <c r="O951" t="s">
        <v>1045</v>
      </c>
    </row>
    <row r="952" spans="1:15" x14ac:dyDescent="0.25">
      <c r="A952">
        <v>213</v>
      </c>
      <c r="B952" s="6">
        <v>45131</v>
      </c>
      <c r="C952" s="5" t="s">
        <v>974</v>
      </c>
      <c r="D952" s="5" t="s">
        <v>2</v>
      </c>
      <c r="E952">
        <v>27</v>
      </c>
      <c r="F952" s="5" t="s">
        <v>717</v>
      </c>
      <c r="G952">
        <v>3</v>
      </c>
      <c r="H952" s="11">
        <v>500</v>
      </c>
      <c r="I952" s="11">
        <v>1500</v>
      </c>
      <c r="J952" t="s">
        <v>22</v>
      </c>
      <c r="K952" t="s">
        <v>1029</v>
      </c>
      <c r="L952" t="s">
        <v>1038</v>
      </c>
      <c r="M952" t="s">
        <v>1033</v>
      </c>
      <c r="N952">
        <v>7</v>
      </c>
      <c r="O952" t="s">
        <v>1046</v>
      </c>
    </row>
    <row r="953" spans="1:15" x14ac:dyDescent="0.25">
      <c r="A953">
        <v>220</v>
      </c>
      <c r="B953" s="6">
        <v>44988</v>
      </c>
      <c r="C953" s="5" t="s">
        <v>975</v>
      </c>
      <c r="D953" s="5" t="s">
        <v>2</v>
      </c>
      <c r="E953">
        <v>64</v>
      </c>
      <c r="F953" s="5" t="s">
        <v>717</v>
      </c>
      <c r="G953">
        <v>1</v>
      </c>
      <c r="H953" s="11">
        <v>500</v>
      </c>
      <c r="I953" s="11">
        <v>500</v>
      </c>
      <c r="J953" t="s">
        <v>24</v>
      </c>
      <c r="K953" t="s">
        <v>1030</v>
      </c>
      <c r="L953" t="s">
        <v>1038</v>
      </c>
      <c r="M953" t="s">
        <v>1039</v>
      </c>
      <c r="N953">
        <v>3</v>
      </c>
      <c r="O953" t="s">
        <v>1040</v>
      </c>
    </row>
    <row r="954" spans="1:15" x14ac:dyDescent="0.25">
      <c r="A954">
        <v>237</v>
      </c>
      <c r="B954" s="6">
        <v>44961</v>
      </c>
      <c r="C954" s="5" t="s">
        <v>976</v>
      </c>
      <c r="D954" s="5" t="s">
        <v>1</v>
      </c>
      <c r="E954">
        <v>50</v>
      </c>
      <c r="F954" s="5" t="s">
        <v>717</v>
      </c>
      <c r="G954">
        <v>2</v>
      </c>
      <c r="H954" s="11">
        <v>500</v>
      </c>
      <c r="I954" s="11">
        <v>1000</v>
      </c>
      <c r="J954" t="s">
        <v>20</v>
      </c>
      <c r="K954" t="s">
        <v>1028</v>
      </c>
      <c r="L954" t="s">
        <v>1038</v>
      </c>
      <c r="M954" t="s">
        <v>1039</v>
      </c>
      <c r="N954">
        <v>2</v>
      </c>
      <c r="O954" t="s">
        <v>1044</v>
      </c>
    </row>
    <row r="955" spans="1:15" x14ac:dyDescent="0.25">
      <c r="A955">
        <v>238</v>
      </c>
      <c r="B955" s="6">
        <v>44943</v>
      </c>
      <c r="C955" s="5" t="s">
        <v>977</v>
      </c>
      <c r="D955" s="5" t="s">
        <v>1</v>
      </c>
      <c r="E955">
        <v>39</v>
      </c>
      <c r="F955" s="5" t="s">
        <v>717</v>
      </c>
      <c r="G955">
        <v>1</v>
      </c>
      <c r="H955" s="11">
        <v>500</v>
      </c>
      <c r="I955" s="11">
        <v>500</v>
      </c>
      <c r="J955" t="s">
        <v>20</v>
      </c>
      <c r="K955" t="s">
        <v>1028</v>
      </c>
      <c r="L955" t="s">
        <v>1038</v>
      </c>
      <c r="M955" t="s">
        <v>1039</v>
      </c>
      <c r="N955">
        <v>1</v>
      </c>
      <c r="O955" t="s">
        <v>1045</v>
      </c>
    </row>
    <row r="956" spans="1:15" x14ac:dyDescent="0.25">
      <c r="A956">
        <v>257</v>
      </c>
      <c r="B956" s="6">
        <v>44976</v>
      </c>
      <c r="C956" s="5" t="s">
        <v>978</v>
      </c>
      <c r="D956" s="5" t="s">
        <v>2</v>
      </c>
      <c r="E956">
        <v>19</v>
      </c>
      <c r="F956" s="5" t="s">
        <v>717</v>
      </c>
      <c r="G956">
        <v>4</v>
      </c>
      <c r="H956" s="11">
        <v>500</v>
      </c>
      <c r="I956" s="11">
        <v>2000</v>
      </c>
      <c r="J956" t="s">
        <v>22</v>
      </c>
      <c r="K956" t="s">
        <v>1029</v>
      </c>
      <c r="L956" t="s">
        <v>1038</v>
      </c>
      <c r="M956" t="s">
        <v>1039</v>
      </c>
      <c r="N956">
        <v>2</v>
      </c>
      <c r="O956" t="s">
        <v>1044</v>
      </c>
    </row>
    <row r="957" spans="1:15" x14ac:dyDescent="0.25">
      <c r="A957">
        <v>281</v>
      </c>
      <c r="B957" s="6">
        <v>45069</v>
      </c>
      <c r="C957" s="5" t="s">
        <v>979</v>
      </c>
      <c r="D957" s="5" t="s">
        <v>1</v>
      </c>
      <c r="E957">
        <v>29</v>
      </c>
      <c r="F957" s="5" t="s">
        <v>717</v>
      </c>
      <c r="G957">
        <v>4</v>
      </c>
      <c r="H957" s="11">
        <v>500</v>
      </c>
      <c r="I957" s="11">
        <v>2000</v>
      </c>
      <c r="J957" t="s">
        <v>22</v>
      </c>
      <c r="K957" t="s">
        <v>1029</v>
      </c>
      <c r="L957" t="s">
        <v>1038</v>
      </c>
      <c r="M957" t="s">
        <v>1041</v>
      </c>
      <c r="N957">
        <v>5</v>
      </c>
      <c r="O957" t="s">
        <v>1032</v>
      </c>
    </row>
    <row r="958" spans="1:15" x14ac:dyDescent="0.25">
      <c r="A958">
        <v>313</v>
      </c>
      <c r="B958" s="6">
        <v>45006</v>
      </c>
      <c r="C958" s="5" t="s">
        <v>980</v>
      </c>
      <c r="D958" s="5" t="s">
        <v>1</v>
      </c>
      <c r="E958">
        <v>55</v>
      </c>
      <c r="F958" s="5" t="s">
        <v>717</v>
      </c>
      <c r="G958">
        <v>3</v>
      </c>
      <c r="H958" s="11">
        <v>500</v>
      </c>
      <c r="I958" s="11">
        <v>1500</v>
      </c>
      <c r="J958" t="s">
        <v>20</v>
      </c>
      <c r="K958" t="s">
        <v>1028</v>
      </c>
      <c r="L958" t="s">
        <v>1038</v>
      </c>
      <c r="M958" t="s">
        <v>1039</v>
      </c>
      <c r="N958">
        <v>3</v>
      </c>
      <c r="O958" t="s">
        <v>1040</v>
      </c>
    </row>
    <row r="959" spans="1:15" x14ac:dyDescent="0.25">
      <c r="A959">
        <v>364</v>
      </c>
      <c r="B959" s="6">
        <v>45161</v>
      </c>
      <c r="C959" s="5" t="s">
        <v>981</v>
      </c>
      <c r="D959" s="5" t="s">
        <v>1</v>
      </c>
      <c r="E959">
        <v>19</v>
      </c>
      <c r="F959" s="5" t="s">
        <v>717</v>
      </c>
      <c r="G959">
        <v>1</v>
      </c>
      <c r="H959" s="11">
        <v>500</v>
      </c>
      <c r="I959" s="11">
        <v>500</v>
      </c>
      <c r="J959" t="s">
        <v>22</v>
      </c>
      <c r="K959" t="s">
        <v>1029</v>
      </c>
      <c r="L959" t="s">
        <v>1038</v>
      </c>
      <c r="M959" t="s">
        <v>1033</v>
      </c>
      <c r="N959">
        <v>8</v>
      </c>
      <c r="O959" t="s">
        <v>1051</v>
      </c>
    </row>
    <row r="960" spans="1:15" x14ac:dyDescent="0.25">
      <c r="A960">
        <v>372</v>
      </c>
      <c r="B960" s="6">
        <v>44964</v>
      </c>
      <c r="C960" s="5" t="s">
        <v>982</v>
      </c>
      <c r="D960" s="5" t="s">
        <v>1</v>
      </c>
      <c r="E960">
        <v>24</v>
      </c>
      <c r="F960" s="5" t="s">
        <v>717</v>
      </c>
      <c r="G960">
        <v>3</v>
      </c>
      <c r="H960" s="11">
        <v>500</v>
      </c>
      <c r="I960" s="11">
        <v>1500</v>
      </c>
      <c r="J960" t="s">
        <v>22</v>
      </c>
      <c r="K960" t="s">
        <v>1029</v>
      </c>
      <c r="L960" t="s">
        <v>1038</v>
      </c>
      <c r="M960" t="s">
        <v>1039</v>
      </c>
      <c r="N960">
        <v>2</v>
      </c>
      <c r="O960" t="s">
        <v>1044</v>
      </c>
    </row>
    <row r="961" spans="1:15" x14ac:dyDescent="0.25">
      <c r="A961">
        <v>393</v>
      </c>
      <c r="B961" s="6">
        <v>45210</v>
      </c>
      <c r="C961" s="5" t="s">
        <v>983</v>
      </c>
      <c r="D961" s="5" t="s">
        <v>1</v>
      </c>
      <c r="E961">
        <v>22</v>
      </c>
      <c r="F961" s="5" t="s">
        <v>717</v>
      </c>
      <c r="G961">
        <v>2</v>
      </c>
      <c r="H961" s="11">
        <v>500</v>
      </c>
      <c r="I961" s="11">
        <v>1000</v>
      </c>
      <c r="J961" t="s">
        <v>22</v>
      </c>
      <c r="K961" t="s">
        <v>1029</v>
      </c>
      <c r="L961" t="s">
        <v>1038</v>
      </c>
      <c r="M961" t="s">
        <v>1047</v>
      </c>
      <c r="N961">
        <v>10</v>
      </c>
      <c r="O961" t="s">
        <v>1049</v>
      </c>
    </row>
    <row r="962" spans="1:15" x14ac:dyDescent="0.25">
      <c r="A962">
        <v>408</v>
      </c>
      <c r="B962" s="6">
        <v>45031</v>
      </c>
      <c r="C962" s="5" t="s">
        <v>984</v>
      </c>
      <c r="D962" s="5" t="s">
        <v>1</v>
      </c>
      <c r="E962">
        <v>64</v>
      </c>
      <c r="F962" s="5" t="s">
        <v>717</v>
      </c>
      <c r="G962">
        <v>1</v>
      </c>
      <c r="H962" s="11">
        <v>500</v>
      </c>
      <c r="I962" s="11">
        <v>500</v>
      </c>
      <c r="J962" t="s">
        <v>24</v>
      </c>
      <c r="K962" t="s">
        <v>1030</v>
      </c>
      <c r="L962" t="s">
        <v>1038</v>
      </c>
      <c r="M962" t="s">
        <v>1041</v>
      </c>
      <c r="N962">
        <v>4</v>
      </c>
      <c r="O962" t="s">
        <v>1042</v>
      </c>
    </row>
    <row r="963" spans="1:15" x14ac:dyDescent="0.25">
      <c r="A963">
        <v>447</v>
      </c>
      <c r="B963" s="6">
        <v>45113</v>
      </c>
      <c r="C963" s="5" t="s">
        <v>985</v>
      </c>
      <c r="D963" s="5" t="s">
        <v>2</v>
      </c>
      <c r="E963">
        <v>22</v>
      </c>
      <c r="F963" s="5" t="s">
        <v>717</v>
      </c>
      <c r="G963">
        <v>4</v>
      </c>
      <c r="H963" s="11">
        <v>500</v>
      </c>
      <c r="I963" s="11">
        <v>2000</v>
      </c>
      <c r="J963" t="s">
        <v>22</v>
      </c>
      <c r="K963" t="s">
        <v>1029</v>
      </c>
      <c r="L963" t="s">
        <v>1038</v>
      </c>
      <c r="M963" t="s">
        <v>1033</v>
      </c>
      <c r="N963">
        <v>7</v>
      </c>
      <c r="O963" t="s">
        <v>1046</v>
      </c>
    </row>
    <row r="964" spans="1:15" x14ac:dyDescent="0.25">
      <c r="A964">
        <v>461</v>
      </c>
      <c r="B964" s="6">
        <v>45010</v>
      </c>
      <c r="C964" s="5" t="s">
        <v>986</v>
      </c>
      <c r="D964" s="5" t="s">
        <v>1</v>
      </c>
      <c r="E964">
        <v>18</v>
      </c>
      <c r="F964" s="5" t="s">
        <v>717</v>
      </c>
      <c r="G964">
        <v>2</v>
      </c>
      <c r="H964" s="11">
        <v>500</v>
      </c>
      <c r="I964" s="11">
        <v>1000</v>
      </c>
      <c r="J964" t="s">
        <v>22</v>
      </c>
      <c r="K964" t="s">
        <v>1029</v>
      </c>
      <c r="L964" t="s">
        <v>1038</v>
      </c>
      <c r="M964" t="s">
        <v>1039</v>
      </c>
      <c r="N964">
        <v>3</v>
      </c>
      <c r="O964" t="s">
        <v>1040</v>
      </c>
    </row>
    <row r="965" spans="1:15" x14ac:dyDescent="0.25">
      <c r="A965">
        <v>463</v>
      </c>
      <c r="B965" s="6">
        <v>45138</v>
      </c>
      <c r="C965" s="5" t="s">
        <v>987</v>
      </c>
      <c r="D965" s="5" t="s">
        <v>1</v>
      </c>
      <c r="E965">
        <v>54</v>
      </c>
      <c r="F965" s="5" t="s">
        <v>717</v>
      </c>
      <c r="G965">
        <v>3</v>
      </c>
      <c r="H965" s="11">
        <v>500</v>
      </c>
      <c r="I965" s="11">
        <v>1500</v>
      </c>
      <c r="J965" t="s">
        <v>20</v>
      </c>
      <c r="K965" t="s">
        <v>1028</v>
      </c>
      <c r="L965" t="s">
        <v>1038</v>
      </c>
      <c r="M965" t="s">
        <v>1033</v>
      </c>
      <c r="N965">
        <v>7</v>
      </c>
      <c r="O965" t="s">
        <v>1046</v>
      </c>
    </row>
    <row r="966" spans="1:15" x14ac:dyDescent="0.25">
      <c r="A966">
        <v>480</v>
      </c>
      <c r="B966" s="6">
        <v>45106</v>
      </c>
      <c r="C966" s="5" t="s">
        <v>988</v>
      </c>
      <c r="D966" s="5" t="s">
        <v>1</v>
      </c>
      <c r="E966">
        <v>42</v>
      </c>
      <c r="F966" s="5" t="s">
        <v>717</v>
      </c>
      <c r="G966">
        <v>4</v>
      </c>
      <c r="H966" s="11">
        <v>500</v>
      </c>
      <c r="I966" s="11">
        <v>2000</v>
      </c>
      <c r="J966" t="s">
        <v>20</v>
      </c>
      <c r="K966" t="s">
        <v>1028</v>
      </c>
      <c r="L966" t="s">
        <v>1038</v>
      </c>
      <c r="M966" t="s">
        <v>1041</v>
      </c>
      <c r="N966">
        <v>6</v>
      </c>
      <c r="O966" t="s">
        <v>1050</v>
      </c>
    </row>
    <row r="967" spans="1:15" x14ac:dyDescent="0.25">
      <c r="A967">
        <v>503</v>
      </c>
      <c r="B967" s="6">
        <v>45224</v>
      </c>
      <c r="C967" s="5" t="s">
        <v>989</v>
      </c>
      <c r="D967" s="5" t="s">
        <v>2</v>
      </c>
      <c r="E967">
        <v>45</v>
      </c>
      <c r="F967" s="5" t="s">
        <v>717</v>
      </c>
      <c r="G967">
        <v>4</v>
      </c>
      <c r="H967" s="11">
        <v>500</v>
      </c>
      <c r="I967" s="11">
        <v>2000</v>
      </c>
      <c r="J967" t="s">
        <v>20</v>
      </c>
      <c r="K967" t="s">
        <v>1028</v>
      </c>
      <c r="L967" t="s">
        <v>1038</v>
      </c>
      <c r="M967" t="s">
        <v>1047</v>
      </c>
      <c r="N967">
        <v>10</v>
      </c>
      <c r="O967" t="s">
        <v>1049</v>
      </c>
    </row>
    <row r="968" spans="1:15" x14ac:dyDescent="0.25">
      <c r="A968">
        <v>506</v>
      </c>
      <c r="B968" s="6">
        <v>44982</v>
      </c>
      <c r="C968" s="5" t="s">
        <v>990</v>
      </c>
      <c r="D968" s="5" t="s">
        <v>2</v>
      </c>
      <c r="E968">
        <v>34</v>
      </c>
      <c r="F968" s="5" t="s">
        <v>717</v>
      </c>
      <c r="G968">
        <v>3</v>
      </c>
      <c r="H968" s="11">
        <v>500</v>
      </c>
      <c r="I968" s="11">
        <v>1500</v>
      </c>
      <c r="J968" t="s">
        <v>20</v>
      </c>
      <c r="K968" t="s">
        <v>1028</v>
      </c>
      <c r="L968" t="s">
        <v>1038</v>
      </c>
      <c r="M968" t="s">
        <v>1039</v>
      </c>
      <c r="N968">
        <v>2</v>
      </c>
      <c r="O968" t="s">
        <v>1044</v>
      </c>
    </row>
    <row r="969" spans="1:15" x14ac:dyDescent="0.25">
      <c r="A969">
        <v>522</v>
      </c>
      <c r="B969" s="6">
        <v>44927</v>
      </c>
      <c r="C969" s="5" t="s">
        <v>991</v>
      </c>
      <c r="D969" s="5" t="s">
        <v>2</v>
      </c>
      <c r="E969">
        <v>46</v>
      </c>
      <c r="F969" s="5" t="s">
        <v>717</v>
      </c>
      <c r="G969">
        <v>3</v>
      </c>
      <c r="H969" s="11">
        <v>500</v>
      </c>
      <c r="I969" s="11">
        <v>1500</v>
      </c>
      <c r="J969" t="s">
        <v>20</v>
      </c>
      <c r="K969" t="s">
        <v>1028</v>
      </c>
      <c r="L969" t="s">
        <v>1038</v>
      </c>
      <c r="M969" t="s">
        <v>1039</v>
      </c>
      <c r="N969">
        <v>1</v>
      </c>
      <c r="O969" t="s">
        <v>1045</v>
      </c>
    </row>
    <row r="970" spans="1:15" x14ac:dyDescent="0.25">
      <c r="A970">
        <v>537</v>
      </c>
      <c r="B970" s="6">
        <v>45080</v>
      </c>
      <c r="C970" s="5" t="s">
        <v>992</v>
      </c>
      <c r="D970" s="5" t="s">
        <v>1</v>
      </c>
      <c r="E970">
        <v>21</v>
      </c>
      <c r="F970" s="5" t="s">
        <v>717</v>
      </c>
      <c r="G970">
        <v>1</v>
      </c>
      <c r="H970" s="11">
        <v>500</v>
      </c>
      <c r="I970" s="11">
        <v>500</v>
      </c>
      <c r="J970" t="s">
        <v>22</v>
      </c>
      <c r="K970" t="s">
        <v>1029</v>
      </c>
      <c r="L970" t="s">
        <v>1038</v>
      </c>
      <c r="M970" t="s">
        <v>1041</v>
      </c>
      <c r="N970">
        <v>6</v>
      </c>
      <c r="O970" t="s">
        <v>1050</v>
      </c>
    </row>
    <row r="971" spans="1:15" x14ac:dyDescent="0.25">
      <c r="A971">
        <v>539</v>
      </c>
      <c r="B971" s="6">
        <v>45085</v>
      </c>
      <c r="C971" s="5" t="s">
        <v>993</v>
      </c>
      <c r="D971" s="5" t="s">
        <v>2</v>
      </c>
      <c r="E971">
        <v>25</v>
      </c>
      <c r="F971" s="5" t="s">
        <v>717</v>
      </c>
      <c r="G971">
        <v>1</v>
      </c>
      <c r="H971" s="11">
        <v>500</v>
      </c>
      <c r="I971" s="11">
        <v>500</v>
      </c>
      <c r="J971" t="s">
        <v>22</v>
      </c>
      <c r="K971" t="s">
        <v>1029</v>
      </c>
      <c r="L971" t="s">
        <v>1038</v>
      </c>
      <c r="M971" t="s">
        <v>1041</v>
      </c>
      <c r="N971">
        <v>6</v>
      </c>
      <c r="O971" t="s">
        <v>1050</v>
      </c>
    </row>
    <row r="972" spans="1:15" x14ac:dyDescent="0.25">
      <c r="A972">
        <v>541</v>
      </c>
      <c r="B972" s="6">
        <v>45136</v>
      </c>
      <c r="C972" s="5" t="s">
        <v>994</v>
      </c>
      <c r="D972" s="5" t="s">
        <v>2</v>
      </c>
      <c r="E972">
        <v>56</v>
      </c>
      <c r="F972" s="5" t="s">
        <v>717</v>
      </c>
      <c r="G972">
        <v>1</v>
      </c>
      <c r="H972" s="11">
        <v>500</v>
      </c>
      <c r="I972" s="11">
        <v>500</v>
      </c>
      <c r="J972" t="s">
        <v>24</v>
      </c>
      <c r="K972" t="s">
        <v>1030</v>
      </c>
      <c r="L972" t="s">
        <v>1038</v>
      </c>
      <c r="M972" t="s">
        <v>1033</v>
      </c>
      <c r="N972">
        <v>7</v>
      </c>
      <c r="O972" t="s">
        <v>1046</v>
      </c>
    </row>
    <row r="973" spans="1:15" x14ac:dyDescent="0.25">
      <c r="A973">
        <v>577</v>
      </c>
      <c r="B973" s="6">
        <v>44970</v>
      </c>
      <c r="C973" s="5" t="s">
        <v>995</v>
      </c>
      <c r="D973" s="5" t="s">
        <v>2</v>
      </c>
      <c r="E973">
        <v>21</v>
      </c>
      <c r="F973" s="5" t="s">
        <v>717</v>
      </c>
      <c r="G973">
        <v>4</v>
      </c>
      <c r="H973" s="11">
        <v>500</v>
      </c>
      <c r="I973" s="11">
        <v>2000</v>
      </c>
      <c r="J973" t="s">
        <v>22</v>
      </c>
      <c r="K973" t="s">
        <v>1029</v>
      </c>
      <c r="L973" t="s">
        <v>1038</v>
      </c>
      <c r="M973" t="s">
        <v>1039</v>
      </c>
      <c r="N973">
        <v>2</v>
      </c>
      <c r="O973" t="s">
        <v>1044</v>
      </c>
    </row>
    <row r="974" spans="1:15" x14ac:dyDescent="0.25">
      <c r="A974">
        <v>589</v>
      </c>
      <c r="B974" s="6">
        <v>45028</v>
      </c>
      <c r="C974" s="5" t="s">
        <v>996</v>
      </c>
      <c r="D974" s="5" t="s">
        <v>1</v>
      </c>
      <c r="E974">
        <v>36</v>
      </c>
      <c r="F974" s="5" t="s">
        <v>717</v>
      </c>
      <c r="G974">
        <v>2</v>
      </c>
      <c r="H974" s="11">
        <v>500</v>
      </c>
      <c r="I974" s="11">
        <v>1000</v>
      </c>
      <c r="J974" t="s">
        <v>20</v>
      </c>
      <c r="K974" t="s">
        <v>1028</v>
      </c>
      <c r="L974" t="s">
        <v>1038</v>
      </c>
      <c r="M974" t="s">
        <v>1041</v>
      </c>
      <c r="N974">
        <v>4</v>
      </c>
      <c r="O974" t="s">
        <v>1042</v>
      </c>
    </row>
    <row r="975" spans="1:15" x14ac:dyDescent="0.25">
      <c r="A975">
        <v>592</v>
      </c>
      <c r="B975" s="6">
        <v>44950</v>
      </c>
      <c r="C975" s="5" t="s">
        <v>997</v>
      </c>
      <c r="D975" s="5" t="s">
        <v>1</v>
      </c>
      <c r="E975">
        <v>46</v>
      </c>
      <c r="F975" s="5" t="s">
        <v>717</v>
      </c>
      <c r="G975">
        <v>4</v>
      </c>
      <c r="H975" s="11">
        <v>500</v>
      </c>
      <c r="I975" s="11">
        <v>2000</v>
      </c>
      <c r="J975" t="s">
        <v>20</v>
      </c>
      <c r="K975" t="s">
        <v>1028</v>
      </c>
      <c r="L975" t="s">
        <v>1038</v>
      </c>
      <c r="M975" t="s">
        <v>1039</v>
      </c>
      <c r="N975">
        <v>1</v>
      </c>
      <c r="O975" t="s">
        <v>1045</v>
      </c>
    </row>
    <row r="976" spans="1:15" x14ac:dyDescent="0.25">
      <c r="A976">
        <v>600</v>
      </c>
      <c r="B976" s="6">
        <v>45221</v>
      </c>
      <c r="C976" s="5" t="s">
        <v>998</v>
      </c>
      <c r="D976" s="5" t="s">
        <v>1</v>
      </c>
      <c r="E976">
        <v>59</v>
      </c>
      <c r="F976" s="5" t="s">
        <v>717</v>
      </c>
      <c r="G976">
        <v>2</v>
      </c>
      <c r="H976" s="11">
        <v>500</v>
      </c>
      <c r="I976" s="11">
        <v>1000</v>
      </c>
      <c r="J976" t="s">
        <v>24</v>
      </c>
      <c r="K976" t="s">
        <v>1030</v>
      </c>
      <c r="L976" t="s">
        <v>1038</v>
      </c>
      <c r="M976" t="s">
        <v>1047</v>
      </c>
      <c r="N976">
        <v>10</v>
      </c>
      <c r="O976" t="s">
        <v>1049</v>
      </c>
    </row>
    <row r="977" spans="1:15" x14ac:dyDescent="0.25">
      <c r="A977">
        <v>611</v>
      </c>
      <c r="B977" s="6">
        <v>44981</v>
      </c>
      <c r="C977" s="5" t="s">
        <v>999</v>
      </c>
      <c r="D977" s="5" t="s">
        <v>2</v>
      </c>
      <c r="E977">
        <v>51</v>
      </c>
      <c r="F977" s="5" t="s">
        <v>717</v>
      </c>
      <c r="G977">
        <v>3</v>
      </c>
      <c r="H977" s="11">
        <v>500</v>
      </c>
      <c r="I977" s="11">
        <v>1500</v>
      </c>
      <c r="J977" t="s">
        <v>20</v>
      </c>
      <c r="K977" t="s">
        <v>1028</v>
      </c>
      <c r="L977" t="s">
        <v>1038</v>
      </c>
      <c r="M977" t="s">
        <v>1039</v>
      </c>
      <c r="N977">
        <v>2</v>
      </c>
      <c r="O977" t="s">
        <v>1044</v>
      </c>
    </row>
    <row r="978" spans="1:15" x14ac:dyDescent="0.25">
      <c r="A978">
        <v>621</v>
      </c>
      <c r="B978" s="6">
        <v>44989</v>
      </c>
      <c r="C978" s="5" t="s">
        <v>1000</v>
      </c>
      <c r="D978" s="5" t="s">
        <v>1</v>
      </c>
      <c r="E978">
        <v>40</v>
      </c>
      <c r="F978" s="5" t="s">
        <v>717</v>
      </c>
      <c r="G978">
        <v>2</v>
      </c>
      <c r="H978" s="11">
        <v>500</v>
      </c>
      <c r="I978" s="11">
        <v>1000</v>
      </c>
      <c r="J978" t="s">
        <v>20</v>
      </c>
      <c r="K978" t="s">
        <v>1028</v>
      </c>
      <c r="L978" t="s">
        <v>1038</v>
      </c>
      <c r="M978" t="s">
        <v>1039</v>
      </c>
      <c r="N978">
        <v>3</v>
      </c>
      <c r="O978" t="s">
        <v>1040</v>
      </c>
    </row>
    <row r="979" spans="1:15" x14ac:dyDescent="0.25">
      <c r="A979">
        <v>636</v>
      </c>
      <c r="B979" s="6">
        <v>45008</v>
      </c>
      <c r="C979" s="5" t="s">
        <v>1001</v>
      </c>
      <c r="D979" s="5" t="s">
        <v>1</v>
      </c>
      <c r="E979">
        <v>21</v>
      </c>
      <c r="F979" s="5" t="s">
        <v>717</v>
      </c>
      <c r="G979">
        <v>3</v>
      </c>
      <c r="H979" s="11">
        <v>500</v>
      </c>
      <c r="I979" s="11">
        <v>1500</v>
      </c>
      <c r="J979" t="s">
        <v>22</v>
      </c>
      <c r="K979" t="s">
        <v>1029</v>
      </c>
      <c r="L979" t="s">
        <v>1038</v>
      </c>
      <c r="M979" t="s">
        <v>1039</v>
      </c>
      <c r="N979">
        <v>3</v>
      </c>
      <c r="O979" t="s">
        <v>1040</v>
      </c>
    </row>
    <row r="980" spans="1:15" x14ac:dyDescent="0.25">
      <c r="A980">
        <v>660</v>
      </c>
      <c r="B980" s="6">
        <v>45045</v>
      </c>
      <c r="C980" s="5" t="s">
        <v>1002</v>
      </c>
      <c r="D980" s="5" t="s">
        <v>1</v>
      </c>
      <c r="E980">
        <v>38</v>
      </c>
      <c r="F980" s="5" t="s">
        <v>717</v>
      </c>
      <c r="G980">
        <v>2</v>
      </c>
      <c r="H980" s="11">
        <v>500</v>
      </c>
      <c r="I980" s="11">
        <v>1000</v>
      </c>
      <c r="J980" t="s">
        <v>20</v>
      </c>
      <c r="K980" t="s">
        <v>1028</v>
      </c>
      <c r="L980" t="s">
        <v>1038</v>
      </c>
      <c r="M980" t="s">
        <v>1041</v>
      </c>
      <c r="N980">
        <v>4</v>
      </c>
      <c r="O980" t="s">
        <v>1042</v>
      </c>
    </row>
    <row r="981" spans="1:15" x14ac:dyDescent="0.25">
      <c r="A981">
        <v>662</v>
      </c>
      <c r="B981" s="6">
        <v>45282</v>
      </c>
      <c r="C981" s="5" t="s">
        <v>1003</v>
      </c>
      <c r="D981" s="5" t="s">
        <v>2</v>
      </c>
      <c r="E981">
        <v>48</v>
      </c>
      <c r="F981" s="5" t="s">
        <v>717</v>
      </c>
      <c r="G981">
        <v>2</v>
      </c>
      <c r="H981" s="11">
        <v>500</v>
      </c>
      <c r="I981" s="11">
        <v>1000</v>
      </c>
      <c r="J981" t="s">
        <v>20</v>
      </c>
      <c r="K981" t="s">
        <v>1028</v>
      </c>
      <c r="L981" t="s">
        <v>1038</v>
      </c>
      <c r="M981" t="s">
        <v>1047</v>
      </c>
      <c r="N981">
        <v>12</v>
      </c>
      <c r="O981" t="s">
        <v>1052</v>
      </c>
    </row>
    <row r="982" spans="1:15" x14ac:dyDescent="0.25">
      <c r="A982">
        <v>677</v>
      </c>
      <c r="B982" s="6">
        <v>45226</v>
      </c>
      <c r="C982" s="5" t="s">
        <v>1004</v>
      </c>
      <c r="D982" s="5" t="s">
        <v>1</v>
      </c>
      <c r="E982">
        <v>19</v>
      </c>
      <c r="F982" s="5" t="s">
        <v>717</v>
      </c>
      <c r="G982">
        <v>3</v>
      </c>
      <c r="H982" s="11">
        <v>500</v>
      </c>
      <c r="I982" s="11">
        <v>1500</v>
      </c>
      <c r="J982" t="s">
        <v>22</v>
      </c>
      <c r="K982" t="s">
        <v>1029</v>
      </c>
      <c r="L982" t="s">
        <v>1038</v>
      </c>
      <c r="M982" t="s">
        <v>1047</v>
      </c>
      <c r="N982">
        <v>10</v>
      </c>
      <c r="O982" t="s">
        <v>1049</v>
      </c>
    </row>
    <row r="983" spans="1:15" x14ac:dyDescent="0.25">
      <c r="A983">
        <v>683</v>
      </c>
      <c r="B983" s="6">
        <v>44930</v>
      </c>
      <c r="C983" s="5" t="s">
        <v>1005</v>
      </c>
      <c r="D983" s="5" t="s">
        <v>2</v>
      </c>
      <c r="E983">
        <v>38</v>
      </c>
      <c r="F983" s="5" t="s">
        <v>717</v>
      </c>
      <c r="G983">
        <v>2</v>
      </c>
      <c r="H983" s="11">
        <v>500</v>
      </c>
      <c r="I983" s="11">
        <v>1000</v>
      </c>
      <c r="J983" t="s">
        <v>20</v>
      </c>
      <c r="K983" t="s">
        <v>1028</v>
      </c>
      <c r="L983" t="s">
        <v>1038</v>
      </c>
      <c r="M983" t="s">
        <v>1039</v>
      </c>
      <c r="N983">
        <v>1</v>
      </c>
      <c r="O983" t="s">
        <v>1045</v>
      </c>
    </row>
    <row r="984" spans="1:15" x14ac:dyDescent="0.25">
      <c r="A984">
        <v>693</v>
      </c>
      <c r="B984" s="6">
        <v>45039</v>
      </c>
      <c r="C984" s="5" t="s">
        <v>1006</v>
      </c>
      <c r="D984" s="5" t="s">
        <v>2</v>
      </c>
      <c r="E984">
        <v>41</v>
      </c>
      <c r="F984" s="5" t="s">
        <v>717</v>
      </c>
      <c r="G984">
        <v>3</v>
      </c>
      <c r="H984" s="11">
        <v>500</v>
      </c>
      <c r="I984" s="11">
        <v>1500</v>
      </c>
      <c r="J984" t="s">
        <v>20</v>
      </c>
      <c r="K984" t="s">
        <v>1028</v>
      </c>
      <c r="L984" t="s">
        <v>1038</v>
      </c>
      <c r="M984" t="s">
        <v>1041</v>
      </c>
      <c r="N984">
        <v>4</v>
      </c>
      <c r="O984" t="s">
        <v>1042</v>
      </c>
    </row>
    <row r="985" spans="1:15" x14ac:dyDescent="0.25">
      <c r="A985">
        <v>720</v>
      </c>
      <c r="B985" s="6">
        <v>44952</v>
      </c>
      <c r="C985" s="5" t="s">
        <v>1007</v>
      </c>
      <c r="D985" s="5" t="s">
        <v>1</v>
      </c>
      <c r="E985">
        <v>56</v>
      </c>
      <c r="F985" s="5" t="s">
        <v>717</v>
      </c>
      <c r="G985">
        <v>3</v>
      </c>
      <c r="H985" s="11">
        <v>500</v>
      </c>
      <c r="I985" s="11">
        <v>1500</v>
      </c>
      <c r="J985" t="s">
        <v>24</v>
      </c>
      <c r="K985" t="s">
        <v>1030</v>
      </c>
      <c r="L985" t="s">
        <v>1038</v>
      </c>
      <c r="M985" t="s">
        <v>1039</v>
      </c>
      <c r="N985">
        <v>1</v>
      </c>
      <c r="O985" t="s">
        <v>1045</v>
      </c>
    </row>
    <row r="986" spans="1:15" x14ac:dyDescent="0.25">
      <c r="A986">
        <v>743</v>
      </c>
      <c r="B986" s="6">
        <v>44942</v>
      </c>
      <c r="C986" s="5" t="s">
        <v>1008</v>
      </c>
      <c r="D986" s="5" t="s">
        <v>1</v>
      </c>
      <c r="E986">
        <v>34</v>
      </c>
      <c r="F986" s="5" t="s">
        <v>717</v>
      </c>
      <c r="G986">
        <v>4</v>
      </c>
      <c r="H986" s="11">
        <v>500</v>
      </c>
      <c r="I986" s="11">
        <v>2000</v>
      </c>
      <c r="J986" t="s">
        <v>20</v>
      </c>
      <c r="K986" t="s">
        <v>1028</v>
      </c>
      <c r="L986" t="s">
        <v>1038</v>
      </c>
      <c r="M986" t="s">
        <v>1039</v>
      </c>
      <c r="N986">
        <v>1</v>
      </c>
      <c r="O986" t="s">
        <v>1045</v>
      </c>
    </row>
    <row r="987" spans="1:15" x14ac:dyDescent="0.25">
      <c r="A987">
        <v>760</v>
      </c>
      <c r="B987" s="6">
        <v>45012</v>
      </c>
      <c r="C987" s="5" t="s">
        <v>1009</v>
      </c>
      <c r="D987" s="5" t="s">
        <v>2</v>
      </c>
      <c r="E987">
        <v>27</v>
      </c>
      <c r="F987" s="5" t="s">
        <v>717</v>
      </c>
      <c r="G987">
        <v>1</v>
      </c>
      <c r="H987" s="11">
        <v>500</v>
      </c>
      <c r="I987" s="11">
        <v>500</v>
      </c>
      <c r="J987" t="s">
        <v>22</v>
      </c>
      <c r="K987" t="s">
        <v>1029</v>
      </c>
      <c r="L987" t="s">
        <v>1038</v>
      </c>
      <c r="M987" t="s">
        <v>1039</v>
      </c>
      <c r="N987">
        <v>3</v>
      </c>
      <c r="O987" t="s">
        <v>1040</v>
      </c>
    </row>
    <row r="988" spans="1:15" x14ac:dyDescent="0.25">
      <c r="A988">
        <v>781</v>
      </c>
      <c r="B988" s="6">
        <v>45283</v>
      </c>
      <c r="C988" s="5" t="s">
        <v>1010</v>
      </c>
      <c r="D988" s="5" t="s">
        <v>2</v>
      </c>
      <c r="E988">
        <v>35</v>
      </c>
      <c r="F988" s="5" t="s">
        <v>717</v>
      </c>
      <c r="G988">
        <v>1</v>
      </c>
      <c r="H988" s="11">
        <v>500</v>
      </c>
      <c r="I988" s="11">
        <v>500</v>
      </c>
      <c r="J988" t="s">
        <v>20</v>
      </c>
      <c r="K988" t="s">
        <v>1028</v>
      </c>
      <c r="L988" t="s">
        <v>1038</v>
      </c>
      <c r="M988" t="s">
        <v>1047</v>
      </c>
      <c r="N988">
        <v>12</v>
      </c>
      <c r="O988" t="s">
        <v>1052</v>
      </c>
    </row>
    <row r="989" spans="1:15" x14ac:dyDescent="0.25">
      <c r="A989">
        <v>805</v>
      </c>
      <c r="B989" s="6">
        <v>45289</v>
      </c>
      <c r="C989" s="5" t="s">
        <v>1011</v>
      </c>
      <c r="D989" s="5" t="s">
        <v>1</v>
      </c>
      <c r="E989">
        <v>30</v>
      </c>
      <c r="F989" s="5" t="s">
        <v>717</v>
      </c>
      <c r="G989">
        <v>3</v>
      </c>
      <c r="H989" s="11">
        <v>500</v>
      </c>
      <c r="I989" s="11">
        <v>1500</v>
      </c>
      <c r="J989" t="s">
        <v>20</v>
      </c>
      <c r="K989" t="s">
        <v>1028</v>
      </c>
      <c r="L989" t="s">
        <v>1038</v>
      </c>
      <c r="M989" t="s">
        <v>1047</v>
      </c>
      <c r="N989">
        <v>12</v>
      </c>
      <c r="O989" t="s">
        <v>1052</v>
      </c>
    </row>
    <row r="990" spans="1:15" x14ac:dyDescent="0.25">
      <c r="A990">
        <v>808</v>
      </c>
      <c r="B990" s="6">
        <v>45017</v>
      </c>
      <c r="C990" s="5" t="s">
        <v>1012</v>
      </c>
      <c r="D990" s="5" t="s">
        <v>2</v>
      </c>
      <c r="E990">
        <v>33</v>
      </c>
      <c r="F990" s="5" t="s">
        <v>717</v>
      </c>
      <c r="G990">
        <v>4</v>
      </c>
      <c r="H990" s="11">
        <v>500</v>
      </c>
      <c r="I990" s="11">
        <v>2000</v>
      </c>
      <c r="J990" t="s">
        <v>20</v>
      </c>
      <c r="K990" t="s">
        <v>1028</v>
      </c>
      <c r="L990" t="s">
        <v>1038</v>
      </c>
      <c r="M990" t="s">
        <v>1041</v>
      </c>
      <c r="N990">
        <v>4</v>
      </c>
      <c r="O990" t="s">
        <v>1042</v>
      </c>
    </row>
    <row r="991" spans="1:15" x14ac:dyDescent="0.25">
      <c r="A991">
        <v>816</v>
      </c>
      <c r="B991" s="6">
        <v>45150</v>
      </c>
      <c r="C991" s="5" t="s">
        <v>1013</v>
      </c>
      <c r="D991" s="5" t="s">
        <v>2</v>
      </c>
      <c r="E991">
        <v>47</v>
      </c>
      <c r="F991" s="5" t="s">
        <v>717</v>
      </c>
      <c r="G991">
        <v>2</v>
      </c>
      <c r="H991" s="11">
        <v>500</v>
      </c>
      <c r="I991" s="11">
        <v>1000</v>
      </c>
      <c r="J991" t="s">
        <v>20</v>
      </c>
      <c r="K991" t="s">
        <v>1028</v>
      </c>
      <c r="L991" t="s">
        <v>1038</v>
      </c>
      <c r="M991" t="s">
        <v>1033</v>
      </c>
      <c r="N991">
        <v>8</v>
      </c>
      <c r="O991" t="s">
        <v>1051</v>
      </c>
    </row>
    <row r="992" spans="1:15" x14ac:dyDescent="0.25">
      <c r="A992">
        <v>832</v>
      </c>
      <c r="B992" s="6">
        <v>45180</v>
      </c>
      <c r="C992" s="5" t="s">
        <v>1014</v>
      </c>
      <c r="D992" s="5" t="s">
        <v>2</v>
      </c>
      <c r="E992">
        <v>47</v>
      </c>
      <c r="F992" s="5" t="s">
        <v>717</v>
      </c>
      <c r="G992">
        <v>4</v>
      </c>
      <c r="H992" s="11">
        <v>500</v>
      </c>
      <c r="I992" s="11">
        <v>2000</v>
      </c>
      <c r="J992" t="s">
        <v>20</v>
      </c>
      <c r="K992" t="s">
        <v>1028</v>
      </c>
      <c r="L992" t="s">
        <v>1038</v>
      </c>
      <c r="M992" t="s">
        <v>1033</v>
      </c>
      <c r="N992">
        <v>9</v>
      </c>
      <c r="O992" t="s">
        <v>1043</v>
      </c>
    </row>
    <row r="993" spans="1:15" x14ac:dyDescent="0.25">
      <c r="A993">
        <v>843</v>
      </c>
      <c r="B993" s="6">
        <v>45068</v>
      </c>
      <c r="C993" s="5" t="s">
        <v>1015</v>
      </c>
      <c r="D993" s="5" t="s">
        <v>2</v>
      </c>
      <c r="E993">
        <v>21</v>
      </c>
      <c r="F993" s="5" t="s">
        <v>717</v>
      </c>
      <c r="G993">
        <v>3</v>
      </c>
      <c r="H993" s="11">
        <v>500</v>
      </c>
      <c r="I993" s="11">
        <v>1500</v>
      </c>
      <c r="J993" t="s">
        <v>22</v>
      </c>
      <c r="K993" t="s">
        <v>1029</v>
      </c>
      <c r="L993" t="s">
        <v>1038</v>
      </c>
      <c r="M993" t="s">
        <v>1041</v>
      </c>
      <c r="N993">
        <v>5</v>
      </c>
      <c r="O993" t="s">
        <v>1032</v>
      </c>
    </row>
    <row r="994" spans="1:15" x14ac:dyDescent="0.25">
      <c r="A994">
        <v>850</v>
      </c>
      <c r="B994" s="6">
        <v>45135</v>
      </c>
      <c r="C994" s="5" t="s">
        <v>1016</v>
      </c>
      <c r="D994" s="5" t="s">
        <v>1</v>
      </c>
      <c r="E994">
        <v>26</v>
      </c>
      <c r="F994" s="5" t="s">
        <v>717</v>
      </c>
      <c r="G994">
        <v>2</v>
      </c>
      <c r="H994" s="11">
        <v>500</v>
      </c>
      <c r="I994" s="11">
        <v>1000</v>
      </c>
      <c r="J994" t="s">
        <v>22</v>
      </c>
      <c r="K994" t="s">
        <v>1029</v>
      </c>
      <c r="L994" t="s">
        <v>1038</v>
      </c>
      <c r="M994" t="s">
        <v>1033</v>
      </c>
      <c r="N994">
        <v>7</v>
      </c>
      <c r="O994" t="s">
        <v>1046</v>
      </c>
    </row>
    <row r="995" spans="1:15" x14ac:dyDescent="0.25">
      <c r="A995">
        <v>853</v>
      </c>
      <c r="B995" s="6">
        <v>45050</v>
      </c>
      <c r="C995" s="5" t="s">
        <v>1017</v>
      </c>
      <c r="D995" s="5" t="s">
        <v>2</v>
      </c>
      <c r="E995">
        <v>21</v>
      </c>
      <c r="F995" s="5" t="s">
        <v>717</v>
      </c>
      <c r="G995">
        <v>2</v>
      </c>
      <c r="H995" s="11">
        <v>500</v>
      </c>
      <c r="I995" s="11">
        <v>1000</v>
      </c>
      <c r="J995" t="s">
        <v>22</v>
      </c>
      <c r="K995" t="s">
        <v>1029</v>
      </c>
      <c r="L995" t="s">
        <v>1038</v>
      </c>
      <c r="M995" t="s">
        <v>1041</v>
      </c>
      <c r="N995">
        <v>5</v>
      </c>
      <c r="O995" t="s">
        <v>1032</v>
      </c>
    </row>
    <row r="996" spans="1:15" x14ac:dyDescent="0.25">
      <c r="A996">
        <v>869</v>
      </c>
      <c r="B996" s="6">
        <v>45224</v>
      </c>
      <c r="C996" s="5" t="s">
        <v>1018</v>
      </c>
      <c r="D996" s="5" t="s">
        <v>2</v>
      </c>
      <c r="E996">
        <v>37</v>
      </c>
      <c r="F996" s="5" t="s">
        <v>717</v>
      </c>
      <c r="G996">
        <v>3</v>
      </c>
      <c r="H996" s="11">
        <v>500</v>
      </c>
      <c r="I996" s="11">
        <v>1500</v>
      </c>
      <c r="J996" t="s">
        <v>20</v>
      </c>
      <c r="K996" t="s">
        <v>1028</v>
      </c>
      <c r="L996" t="s">
        <v>1038</v>
      </c>
      <c r="M996" t="s">
        <v>1047</v>
      </c>
      <c r="N996">
        <v>10</v>
      </c>
      <c r="O996" t="s">
        <v>1049</v>
      </c>
    </row>
    <row r="997" spans="1:15" x14ac:dyDescent="0.25">
      <c r="A997">
        <v>880</v>
      </c>
      <c r="B997" s="6">
        <v>45159</v>
      </c>
      <c r="C997" s="5" t="s">
        <v>1019</v>
      </c>
      <c r="D997" s="5" t="s">
        <v>2</v>
      </c>
      <c r="E997">
        <v>22</v>
      </c>
      <c r="F997" s="5" t="s">
        <v>717</v>
      </c>
      <c r="G997">
        <v>2</v>
      </c>
      <c r="H997" s="11">
        <v>500</v>
      </c>
      <c r="I997" s="11">
        <v>1000</v>
      </c>
      <c r="J997" t="s">
        <v>22</v>
      </c>
      <c r="K997" t="s">
        <v>1029</v>
      </c>
      <c r="L997" t="s">
        <v>1038</v>
      </c>
      <c r="M997" t="s">
        <v>1033</v>
      </c>
      <c r="N997">
        <v>8</v>
      </c>
      <c r="O997" t="s">
        <v>1051</v>
      </c>
    </row>
    <row r="998" spans="1:15" x14ac:dyDescent="0.25">
      <c r="A998">
        <v>934</v>
      </c>
      <c r="B998" s="6">
        <v>45132</v>
      </c>
      <c r="C998" s="5" t="s">
        <v>1020</v>
      </c>
      <c r="D998" s="5" t="s">
        <v>2</v>
      </c>
      <c r="E998">
        <v>30</v>
      </c>
      <c r="F998" s="5" t="s">
        <v>717</v>
      </c>
      <c r="G998">
        <v>1</v>
      </c>
      <c r="H998" s="11">
        <v>500</v>
      </c>
      <c r="I998" s="11">
        <v>500</v>
      </c>
      <c r="J998" t="s">
        <v>20</v>
      </c>
      <c r="K998" t="s">
        <v>1028</v>
      </c>
      <c r="L998" t="s">
        <v>1038</v>
      </c>
      <c r="M998" t="s">
        <v>1033</v>
      </c>
      <c r="N998">
        <v>7</v>
      </c>
      <c r="O998" t="s">
        <v>1046</v>
      </c>
    </row>
    <row r="999" spans="1:15" x14ac:dyDescent="0.25">
      <c r="A999">
        <v>937</v>
      </c>
      <c r="B999" s="6">
        <v>45222</v>
      </c>
      <c r="C999" s="5" t="s">
        <v>1021</v>
      </c>
      <c r="D999" s="5" t="s">
        <v>1</v>
      </c>
      <c r="E999">
        <v>62</v>
      </c>
      <c r="F999" s="5" t="s">
        <v>717</v>
      </c>
      <c r="G999">
        <v>1</v>
      </c>
      <c r="H999" s="11">
        <v>500</v>
      </c>
      <c r="I999" s="11">
        <v>500</v>
      </c>
      <c r="J999" t="s">
        <v>24</v>
      </c>
      <c r="K999" t="s">
        <v>1030</v>
      </c>
      <c r="L999" t="s">
        <v>1038</v>
      </c>
      <c r="M999" t="s">
        <v>1047</v>
      </c>
      <c r="N999">
        <v>10</v>
      </c>
      <c r="O999" t="s">
        <v>1049</v>
      </c>
    </row>
    <row r="1000" spans="1:15" x14ac:dyDescent="0.25">
      <c r="A1000">
        <v>990</v>
      </c>
      <c r="B1000" s="6">
        <v>45071</v>
      </c>
      <c r="C1000" s="5" t="s">
        <v>1022</v>
      </c>
      <c r="D1000" s="5" t="s">
        <v>1</v>
      </c>
      <c r="E1000">
        <v>58</v>
      </c>
      <c r="F1000" s="5" t="s">
        <v>717</v>
      </c>
      <c r="G1000">
        <v>2</v>
      </c>
      <c r="H1000" s="11">
        <v>500</v>
      </c>
      <c r="I1000" s="11">
        <v>1000</v>
      </c>
      <c r="J1000" t="s">
        <v>24</v>
      </c>
      <c r="K1000" t="s">
        <v>1030</v>
      </c>
      <c r="L1000" t="s">
        <v>1038</v>
      </c>
      <c r="M1000" t="s">
        <v>1041</v>
      </c>
      <c r="N1000">
        <v>5</v>
      </c>
      <c r="O1000" t="s">
        <v>1032</v>
      </c>
    </row>
    <row r="1001" spans="1:15" x14ac:dyDescent="0.25">
      <c r="A1001">
        <v>994</v>
      </c>
      <c r="B1001" s="6">
        <v>45278</v>
      </c>
      <c r="C1001" s="5" t="s">
        <v>1023</v>
      </c>
      <c r="D1001" s="5" t="s">
        <v>1</v>
      </c>
      <c r="E1001">
        <v>51</v>
      </c>
      <c r="F1001" s="5" t="s">
        <v>717</v>
      </c>
      <c r="G1001">
        <v>2</v>
      </c>
      <c r="H1001" s="11">
        <v>500</v>
      </c>
      <c r="I1001" s="11">
        <v>1000</v>
      </c>
      <c r="J1001" t="s">
        <v>20</v>
      </c>
      <c r="K1001" t="s">
        <v>1028</v>
      </c>
      <c r="L1001" t="s">
        <v>1038</v>
      </c>
      <c r="M1001" t="s">
        <v>1047</v>
      </c>
      <c r="N1001">
        <v>12</v>
      </c>
      <c r="O1001" t="s">
        <v>1052</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B7BCF-7D52-45F8-BB22-8285AB4BCAEF}">
  <dimension ref="A1:I29"/>
  <sheetViews>
    <sheetView workbookViewId="0">
      <selection activeCell="G26" sqref="G26"/>
    </sheetView>
  </sheetViews>
  <sheetFormatPr defaultRowHeight="15" x14ac:dyDescent="0.25"/>
  <cols>
    <col min="1" max="1" width="13.42578125" bestFit="1" customWidth="1"/>
    <col min="2" max="2" width="19.85546875" bestFit="1" customWidth="1"/>
    <col min="3" max="3" width="20.7109375" bestFit="1" customWidth="1"/>
    <col min="5" max="5" width="13.42578125" bestFit="1" customWidth="1"/>
    <col min="6" max="6" width="19.85546875" bestFit="1" customWidth="1"/>
    <col min="7" max="7" width="15.5703125" bestFit="1" customWidth="1"/>
    <col min="8" max="8" width="23.42578125" bestFit="1" customWidth="1"/>
    <col min="9" max="9" width="28.42578125" customWidth="1"/>
  </cols>
  <sheetData>
    <row r="1" spans="1:9" x14ac:dyDescent="0.25">
      <c r="E1" s="8"/>
    </row>
    <row r="2" spans="1:9" x14ac:dyDescent="0.25">
      <c r="A2" s="1" t="s">
        <v>0</v>
      </c>
      <c r="B2" t="s">
        <v>1025</v>
      </c>
      <c r="C2" t="s">
        <v>1031</v>
      </c>
      <c r="E2" s="9" t="s">
        <v>13</v>
      </c>
      <c r="F2" s="9" t="s">
        <v>14</v>
      </c>
      <c r="G2" s="9" t="s">
        <v>15</v>
      </c>
      <c r="H2" s="9" t="s">
        <v>16</v>
      </c>
      <c r="I2" s="9" t="s">
        <v>1024</v>
      </c>
    </row>
    <row r="3" spans="1:9" x14ac:dyDescent="0.25">
      <c r="A3" s="2" t="s">
        <v>22</v>
      </c>
      <c r="B3" s="10"/>
      <c r="C3" s="10"/>
      <c r="E3" s="7">
        <f>SUM(retail_sales_dataset[Total Amount])</f>
        <v>456000</v>
      </c>
      <c r="F3">
        <f xml:space="preserve"> SUM(retail_sales_dataset[Quantity])</f>
        <v>2514</v>
      </c>
      <c r="G3">
        <v>1000</v>
      </c>
      <c r="H3" s="7">
        <f xml:space="preserve"> E3/G3</f>
        <v>456</v>
      </c>
      <c r="I3" s="7">
        <f xml:space="preserve"> AVERAGE(retail_sales_dataset[Price per Unit])</f>
        <v>179.89</v>
      </c>
    </row>
    <row r="4" spans="1:9" x14ac:dyDescent="0.25">
      <c r="A4" s="3" t="s">
        <v>1</v>
      </c>
      <c r="B4" s="10">
        <v>63525</v>
      </c>
      <c r="C4" s="5">
        <v>129</v>
      </c>
    </row>
    <row r="5" spans="1:9" x14ac:dyDescent="0.25">
      <c r="A5" s="3" t="s">
        <v>2</v>
      </c>
      <c r="B5" s="10">
        <v>59630</v>
      </c>
      <c r="C5" s="5">
        <v>122</v>
      </c>
    </row>
    <row r="6" spans="1:9" x14ac:dyDescent="0.25">
      <c r="A6" s="2" t="s">
        <v>20</v>
      </c>
      <c r="B6" s="10"/>
      <c r="C6" s="10"/>
    </row>
    <row r="7" spans="1:9" x14ac:dyDescent="0.25">
      <c r="A7" s="3" t="s">
        <v>1</v>
      </c>
      <c r="B7" s="10">
        <v>131105</v>
      </c>
      <c r="C7" s="5">
        <v>285</v>
      </c>
    </row>
    <row r="8" spans="1:9" x14ac:dyDescent="0.25">
      <c r="A8" s="3" t="s">
        <v>2</v>
      </c>
      <c r="B8" s="10">
        <v>121330</v>
      </c>
      <c r="C8" s="5">
        <v>269</v>
      </c>
    </row>
    <row r="9" spans="1:9" x14ac:dyDescent="0.25">
      <c r="A9" s="2" t="s">
        <v>24</v>
      </c>
      <c r="B9" s="10"/>
      <c r="C9" s="10"/>
    </row>
    <row r="10" spans="1:9" x14ac:dyDescent="0.25">
      <c r="A10" s="3" t="s">
        <v>1</v>
      </c>
      <c r="B10" s="10">
        <v>38210</v>
      </c>
      <c r="C10" s="5">
        <v>96</v>
      </c>
    </row>
    <row r="11" spans="1:9" x14ac:dyDescent="0.25">
      <c r="A11" s="3" t="s">
        <v>2</v>
      </c>
      <c r="B11" s="10">
        <v>42200</v>
      </c>
      <c r="C11" s="5">
        <v>99</v>
      </c>
    </row>
    <row r="12" spans="1:9" x14ac:dyDescent="0.25">
      <c r="A12" s="2" t="s">
        <v>3</v>
      </c>
      <c r="B12" s="10">
        <v>456000</v>
      </c>
      <c r="C12" s="5">
        <v>1000</v>
      </c>
    </row>
    <row r="16" spans="1:9" x14ac:dyDescent="0.25">
      <c r="A16" s="1" t="s">
        <v>0</v>
      </c>
      <c r="B16" t="s">
        <v>1025</v>
      </c>
      <c r="E16" s="1" t="s">
        <v>0</v>
      </c>
      <c r="F16" t="s">
        <v>1025</v>
      </c>
      <c r="G16" t="s">
        <v>1054</v>
      </c>
      <c r="H16" t="s">
        <v>1026</v>
      </c>
    </row>
    <row r="17" spans="1:8" x14ac:dyDescent="0.25">
      <c r="A17" s="2" t="s">
        <v>1038</v>
      </c>
      <c r="B17" s="5"/>
      <c r="E17" s="2" t="s">
        <v>374</v>
      </c>
      <c r="F17" s="10">
        <v>156905</v>
      </c>
      <c r="G17" s="5">
        <v>849</v>
      </c>
      <c r="H17" s="4">
        <v>181.90058479532163</v>
      </c>
    </row>
    <row r="18" spans="1:8" x14ac:dyDescent="0.25">
      <c r="A18" s="3" t="s">
        <v>1039</v>
      </c>
      <c r="B18" s="4">
        <v>108500</v>
      </c>
      <c r="E18" s="2" t="s">
        <v>19</v>
      </c>
      <c r="F18" s="10">
        <v>155580</v>
      </c>
      <c r="G18" s="5">
        <v>894</v>
      </c>
      <c r="H18" s="4">
        <v>174.28774928774928</v>
      </c>
    </row>
    <row r="19" spans="1:8" x14ac:dyDescent="0.25">
      <c r="A19" s="3" t="s">
        <v>1041</v>
      </c>
      <c r="B19" s="4">
        <v>123735</v>
      </c>
      <c r="E19" s="2" t="s">
        <v>717</v>
      </c>
      <c r="F19" s="10">
        <v>143515</v>
      </c>
      <c r="G19" s="5">
        <v>771</v>
      </c>
      <c r="H19" s="4">
        <v>184.05537459283389</v>
      </c>
    </row>
    <row r="20" spans="1:8" x14ac:dyDescent="0.25">
      <c r="A20" s="3" t="s">
        <v>1033</v>
      </c>
      <c r="B20" s="4">
        <v>96045</v>
      </c>
      <c r="E20" s="2" t="s">
        <v>3</v>
      </c>
      <c r="F20" s="10">
        <v>456000</v>
      </c>
      <c r="G20" s="5">
        <v>2514</v>
      </c>
      <c r="H20" s="4">
        <v>179.89</v>
      </c>
    </row>
    <row r="21" spans="1:8" x14ac:dyDescent="0.25">
      <c r="A21" s="3" t="s">
        <v>1047</v>
      </c>
      <c r="B21" s="4">
        <v>126190</v>
      </c>
    </row>
    <row r="22" spans="1:8" x14ac:dyDescent="0.25">
      <c r="A22" s="2" t="s">
        <v>3</v>
      </c>
      <c r="B22" s="4">
        <v>454470</v>
      </c>
    </row>
    <row r="24" spans="1:8" x14ac:dyDescent="0.25">
      <c r="E24" s="1" t="s">
        <v>0</v>
      </c>
      <c r="F24" t="s">
        <v>1031</v>
      </c>
    </row>
    <row r="25" spans="1:8" x14ac:dyDescent="0.25">
      <c r="E25" s="2">
        <v>1</v>
      </c>
      <c r="F25" s="5">
        <v>253</v>
      </c>
    </row>
    <row r="26" spans="1:8" x14ac:dyDescent="0.25">
      <c r="E26" s="2">
        <v>2</v>
      </c>
      <c r="F26" s="5">
        <v>243</v>
      </c>
    </row>
    <row r="27" spans="1:8" x14ac:dyDescent="0.25">
      <c r="E27" s="2">
        <v>3</v>
      </c>
      <c r="F27" s="5">
        <v>241</v>
      </c>
    </row>
    <row r="28" spans="1:8" x14ac:dyDescent="0.25">
      <c r="E28" s="2">
        <v>4</v>
      </c>
      <c r="F28" s="5">
        <v>263</v>
      </c>
    </row>
    <row r="29" spans="1:8" x14ac:dyDescent="0.25">
      <c r="E29" s="2" t="s">
        <v>3</v>
      </c>
      <c r="F29" s="5">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EDFF3-2C6C-412F-B2C9-1B45744CCF26}">
  <dimension ref="A1:R34"/>
  <sheetViews>
    <sheetView showGridLines="0" tabSelected="1" workbookViewId="0">
      <selection activeCell="S13" sqref="S13"/>
    </sheetView>
  </sheetViews>
  <sheetFormatPr defaultRowHeight="15" x14ac:dyDescent="0.25"/>
  <cols>
    <col min="1" max="1" width="25.140625" style="12" customWidth="1"/>
    <col min="2" max="2" width="0.85546875" style="12" customWidth="1"/>
    <col min="3" max="16" width="9.140625" style="12"/>
    <col min="17" max="17" width="12" style="12" customWidth="1"/>
    <col min="18" max="16384" width="9.140625" style="12"/>
  </cols>
  <sheetData>
    <row r="1" spans="1:18" ht="61.5" customHeight="1" x14ac:dyDescent="0.25">
      <c r="A1" s="14">
        <v>2023</v>
      </c>
      <c r="C1" s="15" t="s">
        <v>1055</v>
      </c>
      <c r="D1" s="15"/>
      <c r="E1" s="15"/>
      <c r="F1" s="15"/>
      <c r="G1" s="15"/>
      <c r="H1" s="15"/>
      <c r="I1" s="15"/>
      <c r="J1" s="15"/>
      <c r="K1" s="15"/>
      <c r="L1" s="15"/>
      <c r="M1" s="15"/>
      <c r="N1" s="15"/>
      <c r="O1" s="15"/>
      <c r="P1" s="15"/>
      <c r="Q1" s="15"/>
      <c r="R1" s="15"/>
    </row>
    <row r="2" spans="1:18" x14ac:dyDescent="0.25">
      <c r="A2" s="13"/>
    </row>
    <row r="3" spans="1:18" x14ac:dyDescent="0.25">
      <c r="A3" s="13"/>
    </row>
    <row r="4" spans="1:18" x14ac:dyDescent="0.25">
      <c r="A4" s="13"/>
    </row>
    <row r="5" spans="1:18" x14ac:dyDescent="0.25">
      <c r="A5" s="13"/>
    </row>
    <row r="6" spans="1:18" x14ac:dyDescent="0.25">
      <c r="A6" s="13"/>
    </row>
    <row r="7" spans="1:18" x14ac:dyDescent="0.25">
      <c r="A7" s="13"/>
    </row>
    <row r="8" spans="1:18" x14ac:dyDescent="0.25">
      <c r="A8" s="13"/>
    </row>
    <row r="9" spans="1:18" x14ac:dyDescent="0.25">
      <c r="A9" s="13"/>
    </row>
    <row r="10" spans="1:18" x14ac:dyDescent="0.25">
      <c r="A10" s="13"/>
    </row>
    <row r="11" spans="1:18" x14ac:dyDescent="0.25">
      <c r="A11" s="13"/>
    </row>
    <row r="12" spans="1:18" x14ac:dyDescent="0.25">
      <c r="A12" s="13"/>
    </row>
    <row r="13" spans="1:18" x14ac:dyDescent="0.25">
      <c r="A13" s="13"/>
    </row>
    <row r="14" spans="1:18" x14ac:dyDescent="0.25">
      <c r="A14" s="13"/>
    </row>
    <row r="15" spans="1:18" x14ac:dyDescent="0.25">
      <c r="A15" s="13"/>
    </row>
    <row r="16" spans="1:18" x14ac:dyDescent="0.25">
      <c r="A16" s="13"/>
    </row>
    <row r="17" spans="1:1" x14ac:dyDescent="0.25">
      <c r="A17" s="13"/>
    </row>
    <row r="18" spans="1:1" x14ac:dyDescent="0.25">
      <c r="A18" s="13"/>
    </row>
    <row r="19" spans="1:1" x14ac:dyDescent="0.25">
      <c r="A19" s="13"/>
    </row>
    <row r="20" spans="1:1" x14ac:dyDescent="0.25">
      <c r="A20" s="13"/>
    </row>
    <row r="21" spans="1:1" x14ac:dyDescent="0.25">
      <c r="A21" s="13"/>
    </row>
    <row r="22" spans="1:1" x14ac:dyDescent="0.25">
      <c r="A22" s="13"/>
    </row>
    <row r="23" spans="1:1" x14ac:dyDescent="0.25">
      <c r="A23" s="13"/>
    </row>
    <row r="24" spans="1:1" x14ac:dyDescent="0.25">
      <c r="A24" s="13"/>
    </row>
    <row r="25" spans="1:1" x14ac:dyDescent="0.25">
      <c r="A25" s="13"/>
    </row>
    <row r="26" spans="1:1" x14ac:dyDescent="0.25">
      <c r="A26" s="13"/>
    </row>
    <row r="27" spans="1:1" x14ac:dyDescent="0.25">
      <c r="A27" s="13"/>
    </row>
    <row r="28" spans="1:1" x14ac:dyDescent="0.25">
      <c r="A28" s="13"/>
    </row>
    <row r="29" spans="1:1" x14ac:dyDescent="0.25">
      <c r="A29" s="13"/>
    </row>
    <row r="30" spans="1:1" x14ac:dyDescent="0.25">
      <c r="A30" s="13"/>
    </row>
    <row r="31" spans="1:1" x14ac:dyDescent="0.25">
      <c r="A31" s="13"/>
    </row>
    <row r="32" spans="1:1" x14ac:dyDescent="0.25">
      <c r="A32" s="13"/>
    </row>
    <row r="33" spans="1:1" x14ac:dyDescent="0.25">
      <c r="A33" s="13"/>
    </row>
    <row r="34" spans="1:1" x14ac:dyDescent="0.25">
      <c r="A34" s="13"/>
    </row>
  </sheetData>
  <mergeCells count="1">
    <mergeCell ref="C1:R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06F7D0D1CE2B4A8BF9FD4AD582AFD6" ma:contentTypeVersion="9" ma:contentTypeDescription="Create a new document." ma:contentTypeScope="" ma:versionID="8351d4076170f303486241c29f7aad92">
  <xsd:schema xmlns:xsd="http://www.w3.org/2001/XMLSchema" xmlns:xs="http://www.w3.org/2001/XMLSchema" xmlns:p="http://schemas.microsoft.com/office/2006/metadata/properties" xmlns:ns3="3fd6950c-56ce-4830-8d34-bb5bdbd15ae6" xmlns:ns4="64baa12b-d08a-46de-96a1-3296e73a1ce4" targetNamespace="http://schemas.microsoft.com/office/2006/metadata/properties" ma:root="true" ma:fieldsID="7e52d6255d0a7d2c002e555ed9c101b4" ns3:_="" ns4:_="">
    <xsd:import namespace="3fd6950c-56ce-4830-8d34-bb5bdbd15ae6"/>
    <xsd:import namespace="64baa12b-d08a-46de-96a1-3296e73a1ce4"/>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d6950c-56ce-4830-8d34-bb5bdbd15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4baa12b-d08a-46de-96a1-3296e73a1ce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3fd6950c-56ce-4830-8d34-bb5bdbd15ae6" xsi:nil="true"/>
  </documentManagement>
</p:properties>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A1D749D7-6CBA-46B8-9EEC-1E4DEE98E8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d6950c-56ce-4830-8d34-bb5bdbd15ae6"/>
    <ds:schemaRef ds:uri="64baa12b-d08a-46de-96a1-3296e73a1c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4AA23BA-BBF5-4A2E-AC4A-AF269B609C2C}">
  <ds:schemaRefs>
    <ds:schemaRef ds:uri="http://schemas.microsoft.com/sharepoint/v3/contenttype/forms"/>
  </ds:schemaRefs>
</ds:datastoreItem>
</file>

<file path=customXml/itemProps3.xml><?xml version="1.0" encoding="utf-8"?>
<ds:datastoreItem xmlns:ds="http://schemas.openxmlformats.org/officeDocument/2006/customXml" ds:itemID="{F682ADA0-179D-4474-B6F6-BE66E4AB7EA3}">
  <ds:schemaRefs>
    <ds:schemaRef ds:uri="http://schemas.microsoft.com/office/2006/documentManagement/types"/>
    <ds:schemaRef ds:uri="http://purl.org/dc/elements/1.1/"/>
    <ds:schemaRef ds:uri="http://purl.org/dc/dcmitype/"/>
    <ds:schemaRef ds:uri="http://purl.org/dc/terms/"/>
    <ds:schemaRef ds:uri="3fd6950c-56ce-4830-8d34-bb5bdbd15ae6"/>
    <ds:schemaRef ds:uri="http://schemas.openxmlformats.org/package/2006/metadata/core-properties"/>
    <ds:schemaRef ds:uri="http://www.w3.org/XML/1998/namespace"/>
    <ds:schemaRef ds:uri="http://schemas.microsoft.com/office/infopath/2007/PartnerControls"/>
    <ds:schemaRef ds:uri="64baa12b-d08a-46de-96a1-3296e73a1ce4"/>
    <ds:schemaRef ds:uri="http://schemas.microsoft.com/office/2006/metadata/properties"/>
  </ds:schemaRefs>
</ds:datastoreItem>
</file>

<file path=customXml/itemProps4.xml><?xml version="1.0" encoding="utf-8"?>
<ds:datastoreItem xmlns:ds="http://schemas.openxmlformats.org/officeDocument/2006/customXml" ds:itemID="{85EB26A4-9771-47D7-BF39-0376FC419C66}">
  <ds:schemaRefs/>
</ds:datastoreItem>
</file>

<file path=customXml/itemProps5.xml><?xml version="1.0" encoding="utf-8"?>
<ds:datastoreItem xmlns:ds="http://schemas.openxmlformats.org/officeDocument/2006/customXml" ds:itemID="{428A5E98-F0C8-4817-9E16-89F138E57AB5}">
  <ds:schemaRefs/>
</ds:datastoreItem>
</file>

<file path=customXml/itemProps6.xml><?xml version="1.0" encoding="utf-8"?>
<ds:datastoreItem xmlns:ds="http://schemas.openxmlformats.org/officeDocument/2006/customXml" ds:itemID="{DF2EA8C7-3801-4F78-A5FB-D60BAF55DC94}">
  <ds:schemaRefs/>
</ds:datastoreItem>
</file>

<file path=customXml/itemProps7.xml><?xml version="1.0" encoding="utf-8"?>
<ds:datastoreItem xmlns:ds="http://schemas.openxmlformats.org/officeDocument/2006/customXml" ds:itemID="{B906B0DC-D359-443B-9D4B-11047B046AF1}">
  <ds:schemaRefs/>
</ds:datastoreItem>
</file>

<file path=customXml/itemProps8.xml><?xml version="1.0" encoding="utf-8"?>
<ds:datastoreItem xmlns:ds="http://schemas.openxmlformats.org/officeDocument/2006/customXml" ds:itemID="{BB8D76A5-EFB1-41EF-AD64-100F5595F28A}">
  <ds:schemaRefs/>
</ds:datastoreItem>
</file>

<file path=customXml/itemProps9.xml><?xml version="1.0" encoding="utf-8"?>
<ds:datastoreItem xmlns:ds="http://schemas.openxmlformats.org/officeDocument/2006/customXml" ds:itemID="{31912927-CADB-4413-925D-86B6AF7EB65B}">
  <ds:schemaRefs/>
</ds:datastoreItem>
</file>

<file path=customXml/itemProps10.xml><?xml version="1.0" encoding="utf-8"?>
<ds:datastoreItem xmlns:ds="http://schemas.openxmlformats.org/officeDocument/2006/customXml" ds:itemID="{889EF833-8C27-4D00-9F6A-78CD8EC731D5}">
  <ds:schemaRefs/>
</ds:datastoreItem>
</file>

<file path=customXml/itemProps11.xml><?xml version="1.0" encoding="utf-8"?>
<ds:datastoreItem xmlns:ds="http://schemas.openxmlformats.org/officeDocument/2006/customXml" ds:itemID="{298F79C4-A622-4BF7-BFA2-1FFA30E31244}">
  <ds:schemaRefs/>
</ds:datastoreItem>
</file>

<file path=customXml/itemProps12.xml><?xml version="1.0" encoding="utf-8"?>
<ds:datastoreItem xmlns:ds="http://schemas.openxmlformats.org/officeDocument/2006/customXml" ds:itemID="{FE0C2F45-37FA-4418-A882-C59735138C7A}">
  <ds:schemaRefs/>
</ds:datastoreItem>
</file>

<file path=customXml/itemProps13.xml><?xml version="1.0" encoding="utf-8"?>
<ds:datastoreItem xmlns:ds="http://schemas.openxmlformats.org/officeDocument/2006/customXml" ds:itemID="{DFB7A841-1030-4564-9CBF-8BACF080895D}">
  <ds:schemaRefs/>
</ds:datastoreItem>
</file>

<file path=customXml/itemProps14.xml><?xml version="1.0" encoding="utf-8"?>
<ds:datastoreItem xmlns:ds="http://schemas.openxmlformats.org/officeDocument/2006/customXml" ds:itemID="{F25A5AD4-65C0-4F6B-AB1B-2E420896A9FB}">
  <ds:schemaRefs>
    <ds:schemaRef ds:uri="http://schemas.microsoft.com/DataMashup"/>
  </ds:schemaRefs>
</ds:datastoreItem>
</file>

<file path=customXml/itemProps15.xml><?xml version="1.0" encoding="utf-8"?>
<ds:datastoreItem xmlns:ds="http://schemas.openxmlformats.org/officeDocument/2006/customXml" ds:itemID="{2A64D724-AA4C-42EF-BBA1-A696D8323666}">
  <ds:schemaRefs/>
</ds:datastoreItem>
</file>

<file path=customXml/itemProps16.xml><?xml version="1.0" encoding="utf-8"?>
<ds:datastoreItem xmlns:ds="http://schemas.openxmlformats.org/officeDocument/2006/customXml" ds:itemID="{EF1552DD-CF0A-40CD-8E57-454FF9947AC0}">
  <ds:schemaRefs/>
</ds:datastoreItem>
</file>

<file path=customXml/itemProps17.xml><?xml version="1.0" encoding="utf-8"?>
<ds:datastoreItem xmlns:ds="http://schemas.openxmlformats.org/officeDocument/2006/customXml" ds:itemID="{2B08080C-9229-43ED-8E52-58A479A731DD}">
  <ds:schemaRefs/>
</ds:datastoreItem>
</file>

<file path=customXml/itemProps18.xml><?xml version="1.0" encoding="utf-8"?>
<ds:datastoreItem xmlns:ds="http://schemas.openxmlformats.org/officeDocument/2006/customXml" ds:itemID="{6A7C1257-1580-4910-AFC8-E5EBA9E68A77}">
  <ds:schemaRefs/>
</ds:datastoreItem>
</file>

<file path=customXml/itemProps19.xml><?xml version="1.0" encoding="utf-8"?>
<ds:datastoreItem xmlns:ds="http://schemas.openxmlformats.org/officeDocument/2006/customXml" ds:itemID="{69132B7C-2A85-4FFE-B4A9-2241B0436140}">
  <ds:schemaRefs/>
</ds:datastoreItem>
</file>

<file path=customXml/itemProps20.xml><?xml version="1.0" encoding="utf-8"?>
<ds:datastoreItem xmlns:ds="http://schemas.openxmlformats.org/officeDocument/2006/customXml" ds:itemID="{5548A78F-227B-4908-8E4E-A7A0CFCA8AC3}">
  <ds:schemaRefs/>
</ds:datastoreItem>
</file>

<file path=customXml/itemProps21.xml><?xml version="1.0" encoding="utf-8"?>
<ds:datastoreItem xmlns:ds="http://schemas.openxmlformats.org/officeDocument/2006/customXml" ds:itemID="{5711614D-5B64-4432-A1CD-C5DE08DEC312}">
  <ds:schemaRefs/>
</ds:datastoreItem>
</file>

<file path=customXml/itemProps22.xml><?xml version="1.0" encoding="utf-8"?>
<ds:datastoreItem xmlns:ds="http://schemas.openxmlformats.org/officeDocument/2006/customXml" ds:itemID="{8A7A3777-B1DE-4FB4-AFD3-B4205518B0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retail_sales_dataset</vt:lpstr>
      <vt:lpstr>Working_Sheet</vt:lpstr>
      <vt:lpstr>Pivot_tables</vt:lpstr>
      <vt:lpstr>Dashboard</vt:lpstr>
    </vt:vector>
  </TitlesOfParts>
  <Company>M. D. Anderson Cancer Center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Chang,Yu-ju</dc:creator>
  <cp:lastModifiedBy>Chang,Yu-ju</cp:lastModifiedBy>
  <dcterms:created xsi:type="dcterms:W3CDTF">2026-05-19T23:15:29Z</dcterms:created>
  <dcterms:modified xsi:type="dcterms:W3CDTF">2026-05-20T02:41:09Z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0x0101002806F7D0D1CE2B4A8BF9FD4AD582AFD6</vt:lpwstr>
  </property>
</Properties>
</file>